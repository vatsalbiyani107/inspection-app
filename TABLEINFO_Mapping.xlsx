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vatsal/Downloads/"/>
    </mc:Choice>
  </mc:AlternateContent>
  <xr:revisionPtr revIDLastSave="0" documentId="13_ncr:1_{EABE203B-9EB8-B24D-BF34-5311CC0FF677}" xr6:coauthVersionLast="47" xr6:coauthVersionMax="47" xr10:uidLastSave="{00000000-0000-0000-0000-000000000000}"/>
  <bookViews>
    <workbookView xWindow="240" yWindow="760" windowWidth="30000" windowHeight="17900" xr2:uid="{00000000-000D-0000-FFFF-FFFF00000000}"/>
  </bookViews>
  <sheets>
    <sheet name="Min-Max_Chem" sheetId="7" r:id="rId1"/>
    <sheet name="PDI PARAMETER" sheetId="8" r:id="rId2"/>
    <sheet name="Grade_Mapping" sheetId="9" r:id="rId3"/>
  </sheets>
  <definedNames>
    <definedName name="_xlnm._FilterDatabase" localSheetId="2" hidden="1">Grade_Mapping!$A$1:$E$192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3" i="9" l="1"/>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2" i="9"/>
  <c r="AP204" i="7"/>
  <c r="AP3" i="7"/>
  <c r="AP4" i="7"/>
  <c r="AP5" i="7"/>
  <c r="AP6" i="7"/>
  <c r="AP7" i="7"/>
  <c r="AP8" i="7"/>
  <c r="AP9" i="7"/>
  <c r="AP10" i="7"/>
  <c r="AP11" i="7"/>
  <c r="AP12" i="7"/>
  <c r="AP13" i="7"/>
  <c r="AP14" i="7"/>
  <c r="AP15" i="7"/>
  <c r="AP16" i="7"/>
  <c r="AP17" i="7"/>
  <c r="AP18" i="7"/>
  <c r="AP19" i="7"/>
  <c r="AP20" i="7"/>
  <c r="AP21" i="7"/>
  <c r="AP22" i="7"/>
  <c r="AP23" i="7"/>
  <c r="AP24" i="7"/>
  <c r="AP25" i="7"/>
  <c r="AP26" i="7"/>
  <c r="AP27" i="7"/>
  <c r="AP28" i="7"/>
  <c r="AP29" i="7"/>
  <c r="AP30" i="7"/>
  <c r="AP31" i="7"/>
  <c r="AP32" i="7"/>
  <c r="AP33" i="7"/>
  <c r="AP34" i="7"/>
  <c r="AP35" i="7"/>
  <c r="AP36" i="7"/>
  <c r="AP37" i="7"/>
  <c r="AP38" i="7"/>
  <c r="AP39" i="7"/>
  <c r="AP40" i="7"/>
  <c r="AP41" i="7"/>
  <c r="AP42" i="7"/>
  <c r="AP43" i="7"/>
  <c r="AP44" i="7"/>
  <c r="AP45" i="7"/>
  <c r="AP46" i="7"/>
  <c r="AP47" i="7"/>
  <c r="AP48" i="7"/>
  <c r="AP49" i="7"/>
  <c r="AP50" i="7"/>
  <c r="AP51" i="7"/>
  <c r="AP52" i="7"/>
  <c r="AP53" i="7"/>
  <c r="AP54" i="7"/>
  <c r="AP55" i="7"/>
  <c r="AP56" i="7"/>
  <c r="AP57" i="7"/>
  <c r="AP58" i="7"/>
  <c r="AP59" i="7"/>
  <c r="AP60" i="7"/>
  <c r="AP61" i="7"/>
  <c r="AP62" i="7"/>
  <c r="AP63" i="7"/>
  <c r="AP64" i="7"/>
  <c r="AP65" i="7"/>
  <c r="AP66" i="7"/>
  <c r="AP67" i="7"/>
  <c r="AP68" i="7"/>
  <c r="AP69" i="7"/>
  <c r="AP70" i="7"/>
  <c r="AP71" i="7"/>
  <c r="AP72" i="7"/>
  <c r="AP73" i="7"/>
  <c r="AP74" i="7"/>
  <c r="AP75" i="7"/>
  <c r="AP76" i="7"/>
  <c r="AP77" i="7"/>
  <c r="AP78" i="7"/>
  <c r="AP79" i="7"/>
  <c r="AP80" i="7"/>
  <c r="AP81" i="7"/>
  <c r="AP82" i="7"/>
  <c r="AP83" i="7"/>
  <c r="AP84" i="7"/>
  <c r="AP85" i="7"/>
  <c r="AP86" i="7"/>
  <c r="AP87" i="7"/>
  <c r="AP88" i="7"/>
  <c r="AP89" i="7"/>
  <c r="AP90" i="7"/>
  <c r="AP91" i="7"/>
  <c r="AP92" i="7"/>
  <c r="AP93" i="7"/>
  <c r="AP94" i="7"/>
  <c r="AP95" i="7"/>
  <c r="AP96" i="7"/>
  <c r="AP97" i="7"/>
  <c r="AP98" i="7"/>
  <c r="AP99" i="7"/>
  <c r="AP100" i="7"/>
  <c r="AP101" i="7"/>
  <c r="AP102" i="7"/>
  <c r="AP103" i="7"/>
  <c r="AP104" i="7"/>
  <c r="AP105" i="7"/>
  <c r="AP106" i="7"/>
  <c r="AP107" i="7"/>
  <c r="AP108" i="7"/>
  <c r="AP109" i="7"/>
  <c r="AP110" i="7"/>
  <c r="AP111" i="7"/>
  <c r="AP112" i="7"/>
  <c r="AP113" i="7"/>
  <c r="AP114" i="7"/>
  <c r="AP115" i="7"/>
  <c r="AP116" i="7"/>
  <c r="AP117" i="7"/>
  <c r="AP118" i="7"/>
  <c r="AP119" i="7"/>
  <c r="AP120" i="7"/>
  <c r="AP121" i="7"/>
  <c r="AP122" i="7"/>
  <c r="AP123" i="7"/>
  <c r="AP124" i="7"/>
  <c r="AP125" i="7"/>
  <c r="AP126" i="7"/>
  <c r="AP127" i="7"/>
  <c r="AP128" i="7"/>
  <c r="AP129" i="7"/>
  <c r="AP130" i="7"/>
  <c r="AP131" i="7"/>
  <c r="AP132" i="7"/>
  <c r="AP133" i="7"/>
  <c r="AP134" i="7"/>
  <c r="AP135" i="7"/>
  <c r="AP136" i="7"/>
  <c r="AP137" i="7"/>
  <c r="AP138" i="7"/>
  <c r="AP139" i="7"/>
  <c r="AP140" i="7"/>
  <c r="AP141" i="7"/>
  <c r="AP142" i="7"/>
  <c r="AP143" i="7"/>
  <c r="AP144" i="7"/>
  <c r="AP145" i="7"/>
  <c r="AP146" i="7"/>
  <c r="AP147" i="7"/>
  <c r="AP148" i="7"/>
  <c r="AP149" i="7"/>
  <c r="AP150" i="7"/>
  <c r="AP151" i="7"/>
  <c r="AP152" i="7"/>
  <c r="AP153" i="7"/>
  <c r="AP154" i="7"/>
  <c r="AP155" i="7"/>
  <c r="AP156" i="7"/>
  <c r="AP157" i="7"/>
  <c r="AP158" i="7"/>
  <c r="AP159" i="7"/>
  <c r="AP160" i="7"/>
  <c r="AP161" i="7"/>
  <c r="AP162" i="7"/>
  <c r="AP163" i="7"/>
  <c r="AP164" i="7"/>
  <c r="AP165" i="7"/>
  <c r="AP166" i="7"/>
  <c r="AP167" i="7"/>
  <c r="AP168" i="7"/>
  <c r="AP169" i="7"/>
  <c r="AP170" i="7"/>
  <c r="AP171" i="7"/>
  <c r="AP172" i="7"/>
  <c r="AP173" i="7"/>
  <c r="AP174" i="7"/>
  <c r="AP175" i="7"/>
  <c r="AP176" i="7"/>
  <c r="AP177" i="7"/>
  <c r="AP178" i="7"/>
  <c r="AP179" i="7"/>
  <c r="AP180" i="7"/>
  <c r="AP181" i="7"/>
  <c r="AP182" i="7"/>
  <c r="AP183" i="7"/>
  <c r="AP184" i="7"/>
  <c r="AP185" i="7"/>
  <c r="AP186" i="7"/>
  <c r="AP187" i="7"/>
  <c r="AP188" i="7"/>
  <c r="AP189" i="7"/>
  <c r="AP190" i="7"/>
  <c r="AP191" i="7"/>
  <c r="AP192" i="7"/>
  <c r="AP193" i="7"/>
  <c r="AP194" i="7"/>
  <c r="AP195" i="7"/>
  <c r="AP196" i="7"/>
  <c r="AP197" i="7"/>
  <c r="AP198" i="7"/>
  <c r="AP199" i="7"/>
  <c r="AP200" i="7"/>
  <c r="AP201" i="7"/>
  <c r="AP202" i="7"/>
  <c r="AP203" i="7"/>
  <c r="AP2" i="7"/>
</calcChain>
</file>

<file path=xl/sharedStrings.xml><?xml version="1.0" encoding="utf-8"?>
<sst xmlns="http://schemas.openxmlformats.org/spreadsheetml/2006/main" count="917" uniqueCount="489">
  <si>
    <t>EN1.4307</t>
  </si>
  <si>
    <t>EN1.4301</t>
  </si>
  <si>
    <t>EN1.4404</t>
  </si>
  <si>
    <t>204CU</t>
  </si>
  <si>
    <t>JT SPL</t>
  </si>
  <si>
    <t>JBS-X</t>
  </si>
  <si>
    <t>IRS 450CR</t>
  </si>
  <si>
    <t>JT</t>
  </si>
  <si>
    <t>GRADE</t>
  </si>
  <si>
    <t>MIN_C</t>
  </si>
  <si>
    <t>MAX_C</t>
  </si>
  <si>
    <t>MIN_MN</t>
  </si>
  <si>
    <t>MAX_MN</t>
  </si>
  <si>
    <t>MIN_S</t>
  </si>
  <si>
    <t>MAX_S</t>
  </si>
  <si>
    <t>MIN_P</t>
  </si>
  <si>
    <t>MAX_P</t>
  </si>
  <si>
    <t>MIN_SI</t>
  </si>
  <si>
    <t>MAX_SI</t>
  </si>
  <si>
    <t>MIN_NI</t>
  </si>
  <si>
    <t>MAX_NI</t>
  </si>
  <si>
    <t>MIN_CR</t>
  </si>
  <si>
    <t>MAX_CR</t>
  </si>
  <si>
    <t>MIN_CU</t>
  </si>
  <si>
    <t>MAX_CU</t>
  </si>
  <si>
    <t>MIN_MO</t>
  </si>
  <si>
    <t>MAX_MO</t>
  </si>
  <si>
    <t>MIN_TI</t>
  </si>
  <si>
    <t>MAX_TI</t>
  </si>
  <si>
    <t>MIN_V</t>
  </si>
  <si>
    <t>MAX_V</t>
  </si>
  <si>
    <t>MIN_H</t>
  </si>
  <si>
    <t>MAX_H</t>
  </si>
  <si>
    <t>MIN_N</t>
  </si>
  <si>
    <t>MAX_N</t>
  </si>
  <si>
    <t>MIN_PB</t>
  </si>
  <si>
    <t>MAX_PB</t>
  </si>
  <si>
    <t>MIN_SN</t>
  </si>
  <si>
    <t>MAX_SN</t>
  </si>
  <si>
    <t>MIN_AL</t>
  </si>
  <si>
    <t>MAX_AL</t>
  </si>
  <si>
    <t>MIN_CA</t>
  </si>
  <si>
    <t>MAX_CA</t>
  </si>
  <si>
    <t>MIN_B</t>
  </si>
  <si>
    <t>MAX_B</t>
  </si>
  <si>
    <t>MIN_CO</t>
  </si>
  <si>
    <t>MAX_CO</t>
  </si>
  <si>
    <t>MIN_NB</t>
  </si>
  <si>
    <t>MAX_NB</t>
  </si>
  <si>
    <t>409L %C&lt;0.007</t>
  </si>
  <si>
    <t>X55CR14MO</t>
  </si>
  <si>
    <t>EN100252S355JRAR</t>
  </si>
  <si>
    <t>SAE1006</t>
  </si>
  <si>
    <t>IS11513CR1</t>
  </si>
  <si>
    <t>IS2062E350C</t>
  </si>
  <si>
    <t>EN100252S355JOAR</t>
  </si>
  <si>
    <t>JD1-T</t>
  </si>
  <si>
    <t>IS10748GR1</t>
  </si>
  <si>
    <t>DS9513Type1</t>
  </si>
  <si>
    <t>IRSM 450</t>
  </si>
  <si>
    <t>G08</t>
  </si>
  <si>
    <t>G10</t>
  </si>
  <si>
    <t>CR4</t>
  </si>
  <si>
    <t>A30</t>
  </si>
  <si>
    <t>C08</t>
  </si>
  <si>
    <t>G16</t>
  </si>
  <si>
    <t>T02</t>
  </si>
  <si>
    <t>T12</t>
  </si>
  <si>
    <t>C04</t>
  </si>
  <si>
    <t>Q01</t>
  </si>
  <si>
    <t>MS05</t>
  </si>
  <si>
    <t>Q02</t>
  </si>
  <si>
    <t>G35</t>
  </si>
  <si>
    <t>A34</t>
  </si>
  <si>
    <t>A38</t>
  </si>
  <si>
    <t>C01</t>
  </si>
  <si>
    <t>C12</t>
  </si>
  <si>
    <t>C31</t>
  </si>
  <si>
    <t>S35</t>
  </si>
  <si>
    <t>IS6240</t>
  </si>
  <si>
    <t>2062E350</t>
  </si>
  <si>
    <t>C42</t>
  </si>
  <si>
    <t>C13</t>
  </si>
  <si>
    <t>G11</t>
  </si>
  <si>
    <t>10748GR1</t>
  </si>
  <si>
    <t>10748GR2</t>
  </si>
  <si>
    <t>WTCR</t>
  </si>
  <si>
    <t>G15</t>
  </si>
  <si>
    <t>JD1M</t>
  </si>
  <si>
    <t>MC40</t>
  </si>
  <si>
    <t>MC50</t>
  </si>
  <si>
    <t>MC55</t>
  </si>
  <si>
    <t>T11</t>
  </si>
  <si>
    <t>G05</t>
  </si>
  <si>
    <t>G18</t>
  </si>
  <si>
    <t>X06</t>
  </si>
  <si>
    <t>D12</t>
  </si>
  <si>
    <t>JA25HRST01</t>
  </si>
  <si>
    <t>G19</t>
  </si>
  <si>
    <t>G06</t>
  </si>
  <si>
    <t>G17</t>
  </si>
  <si>
    <t>C09</t>
  </si>
  <si>
    <t>H12</t>
  </si>
  <si>
    <t>E03</t>
  </si>
  <si>
    <t>T01</t>
  </si>
  <si>
    <t>G09</t>
  </si>
  <si>
    <t>H17</t>
  </si>
  <si>
    <t>IS2062E250BR</t>
  </si>
  <si>
    <t>C20</t>
  </si>
  <si>
    <t>C41</t>
  </si>
  <si>
    <t>JD1</t>
  </si>
  <si>
    <t>X03</t>
  </si>
  <si>
    <t>316Ti</t>
  </si>
  <si>
    <t>310S</t>
  </si>
  <si>
    <t>EN1.4571</t>
  </si>
  <si>
    <t>EN1.4003HD</t>
  </si>
  <si>
    <t>EN1.4541</t>
  </si>
  <si>
    <t>RB300</t>
  </si>
  <si>
    <t>AISI446</t>
  </si>
  <si>
    <t>204cu</t>
  </si>
  <si>
    <t>304LN</t>
  </si>
  <si>
    <t>309S</t>
  </si>
  <si>
    <t>316L</t>
  </si>
  <si>
    <t>316LN</t>
  </si>
  <si>
    <t>317LN</t>
  </si>
  <si>
    <t>409M</t>
  </si>
  <si>
    <t>410 QT550</t>
  </si>
  <si>
    <t>410S</t>
  </si>
  <si>
    <t>430Ti</t>
  </si>
  <si>
    <t>436L</t>
  </si>
  <si>
    <t>JSLU</t>
  </si>
  <si>
    <t>430MINT</t>
  </si>
  <si>
    <t>2062B</t>
  </si>
  <si>
    <t>J4L</t>
  </si>
  <si>
    <t>EN1.4401</t>
  </si>
  <si>
    <t>RB200</t>
  </si>
  <si>
    <t>EN1.4318</t>
  </si>
  <si>
    <t>JSLU-SD Ni</t>
  </si>
  <si>
    <t>X2CRNI12</t>
  </si>
  <si>
    <t>304L CO&lt;0.025%</t>
  </si>
  <si>
    <t>304LNi&gt;=9</t>
  </si>
  <si>
    <t>304LNi&gt;=8.5</t>
  </si>
  <si>
    <t>409L Ti</t>
  </si>
  <si>
    <t>321H</t>
  </si>
  <si>
    <t>EN1.4310</t>
  </si>
  <si>
    <t>JBS</t>
  </si>
  <si>
    <t>UNS31803</t>
  </si>
  <si>
    <t>316C&gt;0.04</t>
  </si>
  <si>
    <t>317L</t>
  </si>
  <si>
    <t>EN1.4301HSR</t>
  </si>
  <si>
    <t>EN1.4307HSR</t>
  </si>
  <si>
    <t>JSLUKP</t>
  </si>
  <si>
    <t>EN1.4000</t>
  </si>
  <si>
    <t>X5CRNI18</t>
  </si>
  <si>
    <t>204cuM</t>
  </si>
  <si>
    <t>EN1.4306</t>
  </si>
  <si>
    <t>UNS532750</t>
  </si>
  <si>
    <t>316L-AMS</t>
  </si>
  <si>
    <t>UNS32205</t>
  </si>
  <si>
    <t>EN1.4311</t>
  </si>
  <si>
    <t>410JEN</t>
  </si>
  <si>
    <t>316-AMS</t>
  </si>
  <si>
    <t>EN1.4404RAT</t>
  </si>
  <si>
    <t>UNS32760</t>
  </si>
  <si>
    <t>304H</t>
  </si>
  <si>
    <t>HNS</t>
  </si>
  <si>
    <t>304L-AMS</t>
  </si>
  <si>
    <t>304-AMS</t>
  </si>
  <si>
    <t>EN1.4301RAT</t>
  </si>
  <si>
    <t>EN1.4307RAT</t>
  </si>
  <si>
    <t>304LRAT</t>
  </si>
  <si>
    <t>EN1.4509</t>
  </si>
  <si>
    <t>C03</t>
  </si>
  <si>
    <t>UNS 32750</t>
  </si>
  <si>
    <t>AISI 444</t>
  </si>
  <si>
    <t>EN100252S235JRAR</t>
  </si>
  <si>
    <t>EN100252S355J2+N</t>
  </si>
  <si>
    <t>EN100252S275JRAR</t>
  </si>
  <si>
    <t>JISG3101SS400</t>
  </si>
  <si>
    <t>304P</t>
  </si>
  <si>
    <t>JSLUSDM</t>
  </si>
  <si>
    <t>301L-LT</t>
  </si>
  <si>
    <t>UNS S32101</t>
  </si>
  <si>
    <t>UNS S40975</t>
  </si>
  <si>
    <t>430TI</t>
  </si>
  <si>
    <t>SUS304</t>
  </si>
  <si>
    <t>430HF</t>
  </si>
  <si>
    <t>IRS 350CR</t>
  </si>
  <si>
    <t>316L PREN&gt;23</t>
  </si>
  <si>
    <t>439 RAT</t>
  </si>
  <si>
    <t>SUS430</t>
  </si>
  <si>
    <t>JT-2BT</t>
  </si>
  <si>
    <t>J4</t>
  </si>
  <si>
    <t>JT-SPL</t>
  </si>
  <si>
    <t>430J1L</t>
  </si>
  <si>
    <t>410DB</t>
  </si>
  <si>
    <t>EN10025-2 S355J2+N</t>
  </si>
  <si>
    <t>410HC</t>
  </si>
  <si>
    <t>304L</t>
  </si>
  <si>
    <t>IRSM</t>
  </si>
  <si>
    <t>EN1.4372</t>
  </si>
  <si>
    <t>316LRAT</t>
  </si>
  <si>
    <t>SUS430-HR</t>
  </si>
  <si>
    <t>430RF3</t>
  </si>
  <si>
    <t>904L</t>
  </si>
  <si>
    <t>301L-ST</t>
  </si>
  <si>
    <t>EN1.4003</t>
  </si>
  <si>
    <t>IS1078GR3</t>
  </si>
  <si>
    <t>IS11513CR3</t>
  </si>
  <si>
    <t>C25HMNC</t>
  </si>
  <si>
    <t>IS10748GR2</t>
  </si>
  <si>
    <t>EN100252S355J2AR</t>
  </si>
  <si>
    <t>201LN</t>
  </si>
  <si>
    <t>UNS S41500</t>
  </si>
  <si>
    <t>UNS S32304</t>
  </si>
  <si>
    <t>12X18H10T</t>
  </si>
  <si>
    <t>AISI1552</t>
  </si>
  <si>
    <t>AUS</t>
  </si>
  <si>
    <t>409L</t>
  </si>
  <si>
    <t>IS2062E350BR</t>
  </si>
  <si>
    <t>EN10025-2 S235JR+AR</t>
  </si>
  <si>
    <t>EN10025-2 S355J2+AR</t>
  </si>
  <si>
    <t>EN100252 S235JRAR</t>
  </si>
  <si>
    <t>C06</t>
  </si>
  <si>
    <t>316LCR17</t>
  </si>
  <si>
    <t>JSLUSD</t>
  </si>
  <si>
    <t>JSLUDD</t>
  </si>
  <si>
    <t>304N</t>
  </si>
  <si>
    <t>430WG</t>
  </si>
  <si>
    <t>2.062E253</t>
  </si>
  <si>
    <t xml:space="preserve">PDI  for Charging slab </t>
  </si>
  <si>
    <t>1.Slab Data</t>
  </si>
  <si>
    <t>Remarks</t>
  </si>
  <si>
    <t>300sr - Coil</t>
  </si>
  <si>
    <t>300sr - HP/LP</t>
  </si>
  <si>
    <t>200sr - Coil</t>
  </si>
  <si>
    <t>200sr  - HP/LP</t>
  </si>
  <si>
    <t>400sr - Coil</t>
  </si>
  <si>
    <t>400sr  - HP/LP</t>
  </si>
  <si>
    <t>MS</t>
  </si>
  <si>
    <t>Slab id</t>
  </si>
  <si>
    <t xml:space="preserve">Grade </t>
  </si>
  <si>
    <t>Thickness [mm]</t>
  </si>
  <si>
    <t>min - 160
max - 230</t>
  </si>
  <si>
    <t>Length [m]</t>
  </si>
  <si>
    <t>min - 5
max - 13.5</t>
  </si>
  <si>
    <t>Temperature</t>
  </si>
  <si>
    <t>min - 1040 (for 409L)
max - 1210 (UNS S41500)</t>
  </si>
  <si>
    <t>Head-width [mm]</t>
  </si>
  <si>
    <t>min - 1000
max - 1650</t>
  </si>
  <si>
    <t>Tail-width [mm]</t>
  </si>
  <si>
    <t>Furnace no.</t>
  </si>
  <si>
    <t>1 or 2</t>
  </si>
  <si>
    <t>Cold Slab Flag</t>
  </si>
  <si>
    <t>Hot Charging/Cold Charging</t>
  </si>
  <si>
    <t>Hot Charging</t>
  </si>
  <si>
    <t>Plate mode</t>
  </si>
  <si>
    <t>Normal rolling/Light plate/Heavy Plate</t>
  </si>
  <si>
    <t>Normal rolling</t>
  </si>
  <si>
    <t>Light plate/Heavy Plate</t>
  </si>
  <si>
    <t>2.Rough Strip Data</t>
  </si>
  <si>
    <t>3.Finished Stirp Data</t>
  </si>
  <si>
    <t>Alt Thickness [mm]</t>
  </si>
  <si>
    <r>
      <t>Profile [</t>
    </r>
    <r>
      <rPr>
        <sz val="11"/>
        <color theme="1"/>
        <rFont val="Calibri"/>
        <family val="2"/>
      </rPr>
      <t>µm]</t>
    </r>
  </si>
  <si>
    <t>Dilatometer Curve</t>
  </si>
  <si>
    <t>Sl No</t>
  </si>
  <si>
    <t>Level2 Grade</t>
  </si>
  <si>
    <t>SAP Grade</t>
  </si>
  <si>
    <t>SAP Code</t>
  </si>
  <si>
    <t>Series</t>
  </si>
  <si>
    <t>EN 1.4301</t>
  </si>
  <si>
    <t>A0302</t>
  </si>
  <si>
    <t>EN 1.4404</t>
  </si>
  <si>
    <t>A0605</t>
  </si>
  <si>
    <t>EN 1.4401</t>
  </si>
  <si>
    <t>IS2062 E250 BR</t>
  </si>
  <si>
    <t>MS82</t>
  </si>
  <si>
    <t>AISI 446</t>
  </si>
  <si>
    <t>J0201</t>
  </si>
  <si>
    <t>EN5C</t>
  </si>
  <si>
    <t>EN 5C</t>
  </si>
  <si>
    <t>J0910</t>
  </si>
  <si>
    <t>EN 1.4310</t>
  </si>
  <si>
    <t>A0113</t>
  </si>
  <si>
    <t>IS10748 GRII</t>
  </si>
  <si>
    <t>MS04</t>
  </si>
  <si>
    <t>EN 1.4372</t>
  </si>
  <si>
    <t>J0305</t>
  </si>
  <si>
    <t>High nitrogen steel</t>
  </si>
  <si>
    <t>J1202</t>
  </si>
  <si>
    <t>IS 2062 E350C</t>
  </si>
  <si>
    <t>MS18</t>
  </si>
  <si>
    <t>IS10748GR3</t>
  </si>
  <si>
    <t>IS10748 GRIII</t>
  </si>
  <si>
    <t>MS81</t>
  </si>
  <si>
    <t>IS 2062 E350BR</t>
  </si>
  <si>
    <t>MS13</t>
  </si>
  <si>
    <t>EN10025-2 S275JR+AR</t>
  </si>
  <si>
    <t>MS92</t>
  </si>
  <si>
    <t>MS99</t>
  </si>
  <si>
    <t>EN 1.4318</t>
  </si>
  <si>
    <t>A0104</t>
  </si>
  <si>
    <t>F0802</t>
  </si>
  <si>
    <t>F0220</t>
  </si>
  <si>
    <t>420J1</t>
  </si>
  <si>
    <t>F0401</t>
  </si>
  <si>
    <t>UNS 32304</t>
  </si>
  <si>
    <t>D0108</t>
  </si>
  <si>
    <t>Duplex</t>
  </si>
  <si>
    <t>IS 11513 CR III</t>
  </si>
  <si>
    <t>MS112</t>
  </si>
  <si>
    <t>J0911</t>
  </si>
  <si>
    <t>A0106</t>
  </si>
  <si>
    <t>201 LN</t>
  </si>
  <si>
    <t>J0304</t>
  </si>
  <si>
    <t>MS901</t>
  </si>
  <si>
    <t>F0211</t>
  </si>
  <si>
    <t>F0108</t>
  </si>
  <si>
    <t>JD1-M</t>
  </si>
  <si>
    <t>MS902</t>
  </si>
  <si>
    <t>F0512</t>
  </si>
  <si>
    <t>F0628</t>
  </si>
  <si>
    <t>F0604</t>
  </si>
  <si>
    <t>DS 9513 - Type 1</t>
  </si>
  <si>
    <t>MS104</t>
  </si>
  <si>
    <t>409L Ti &gt;= 0.20%</t>
  </si>
  <si>
    <t>F0106</t>
  </si>
  <si>
    <t>EN 1.4003HD</t>
  </si>
  <si>
    <t>F0514</t>
  </si>
  <si>
    <t>F0706</t>
  </si>
  <si>
    <t>A0325</t>
  </si>
  <si>
    <t>F1901</t>
  </si>
  <si>
    <t>F0626</t>
  </si>
  <si>
    <t>UNS32101</t>
  </si>
  <si>
    <t>UNS S32750</t>
  </si>
  <si>
    <t>D0202</t>
  </si>
  <si>
    <t>JIS G3101 SS400</t>
  </si>
  <si>
    <t>MS97</t>
  </si>
  <si>
    <t>EN 1.4509</t>
  </si>
  <si>
    <t>F1202</t>
  </si>
  <si>
    <t>F0627</t>
  </si>
  <si>
    <t>EN 1.4311</t>
  </si>
  <si>
    <t>A0408</t>
  </si>
  <si>
    <t>SUS436L</t>
  </si>
  <si>
    <t>F0305</t>
  </si>
  <si>
    <t>MS100</t>
  </si>
  <si>
    <t>F0403</t>
  </si>
  <si>
    <t>EN10025-2 S355 JR+AR</t>
  </si>
  <si>
    <t>MS94</t>
  </si>
  <si>
    <t>EN10025-2 S235 JR+AR</t>
  </si>
  <si>
    <t>MS83</t>
  </si>
  <si>
    <t>F0201</t>
  </si>
  <si>
    <t>A0601</t>
  </si>
  <si>
    <t>D0102</t>
  </si>
  <si>
    <t>A0639</t>
  </si>
  <si>
    <t>F0513</t>
  </si>
  <si>
    <t>JSLU-SD Ni &gt;= 0.5%</t>
  </si>
  <si>
    <t>J0803</t>
  </si>
  <si>
    <t>M0302</t>
  </si>
  <si>
    <t>Jbs</t>
  </si>
  <si>
    <t>F0701</t>
  </si>
  <si>
    <t>MS62</t>
  </si>
  <si>
    <t>MS25</t>
  </si>
  <si>
    <t>304L Ni &gt;= 9%</t>
  </si>
  <si>
    <t>A0406</t>
  </si>
  <si>
    <t>A0421</t>
  </si>
  <si>
    <t>EN 1.4307</t>
  </si>
  <si>
    <t>A0402</t>
  </si>
  <si>
    <t>304L Ni &gt;= 8.5%</t>
  </si>
  <si>
    <t>A0409</t>
  </si>
  <si>
    <t>A0618</t>
  </si>
  <si>
    <t>IS 10748 Gr I</t>
  </si>
  <si>
    <t>MS51</t>
  </si>
  <si>
    <t>A0617</t>
  </si>
  <si>
    <t>MS57</t>
  </si>
  <si>
    <t>MS54</t>
  </si>
  <si>
    <t>MS20</t>
  </si>
  <si>
    <t>MS55</t>
  </si>
  <si>
    <t>A0305</t>
  </si>
  <si>
    <t>MS61</t>
  </si>
  <si>
    <t>A0801</t>
  </si>
  <si>
    <t>MS63</t>
  </si>
  <si>
    <t>MS22</t>
  </si>
  <si>
    <t>MS34</t>
  </si>
  <si>
    <t>MS31</t>
  </si>
  <si>
    <t>MS24</t>
  </si>
  <si>
    <t>MS53</t>
  </si>
  <si>
    <t>MS56</t>
  </si>
  <si>
    <t>SAILMC 55</t>
  </si>
  <si>
    <t>MS17</t>
  </si>
  <si>
    <t>SAILMC 40</t>
  </si>
  <si>
    <t>MS15</t>
  </si>
  <si>
    <t>410 Jen</t>
  </si>
  <si>
    <t>F0208</t>
  </si>
  <si>
    <t>SAILMC 50</t>
  </si>
  <si>
    <t>MS16</t>
  </si>
  <si>
    <t>MS19</t>
  </si>
  <si>
    <t>UNS S32205</t>
  </si>
  <si>
    <t>D0101</t>
  </si>
  <si>
    <t>MS10</t>
  </si>
  <si>
    <t>X5CRNI1810</t>
  </si>
  <si>
    <t>A0307</t>
  </si>
  <si>
    <t>EN 1.4000</t>
  </si>
  <si>
    <t>F0205</t>
  </si>
  <si>
    <t>JSLU-KP</t>
  </si>
  <si>
    <t>J0902</t>
  </si>
  <si>
    <t>MS37</t>
  </si>
  <si>
    <t>MS29</t>
  </si>
  <si>
    <t>MS33</t>
  </si>
  <si>
    <t>MS44</t>
  </si>
  <si>
    <t>MS52</t>
  </si>
  <si>
    <t>MS46</t>
  </si>
  <si>
    <t>MS47</t>
  </si>
  <si>
    <t>MS45</t>
  </si>
  <si>
    <t>MS48</t>
  </si>
  <si>
    <t>MS43</t>
  </si>
  <si>
    <t>MS30</t>
  </si>
  <si>
    <t>MS32</t>
  </si>
  <si>
    <t>MS58</t>
  </si>
  <si>
    <t>441-Honda</t>
  </si>
  <si>
    <t>F1203</t>
  </si>
  <si>
    <t>MS64</t>
  </si>
  <si>
    <t>MS65</t>
  </si>
  <si>
    <t>F0502</t>
  </si>
  <si>
    <t>MS36</t>
  </si>
  <si>
    <t>MS35</t>
  </si>
  <si>
    <t>MS73</t>
  </si>
  <si>
    <t>MS23</t>
  </si>
  <si>
    <t>MS26</t>
  </si>
  <si>
    <t>MS49</t>
  </si>
  <si>
    <t>MS66</t>
  </si>
  <si>
    <t>MS50</t>
  </si>
  <si>
    <t>F0608</t>
  </si>
  <si>
    <t>430 RF-3</t>
  </si>
  <si>
    <t>F0602</t>
  </si>
  <si>
    <t>430 Mint</t>
  </si>
  <si>
    <t>F0603</t>
  </si>
  <si>
    <t>F0101</t>
  </si>
  <si>
    <t>F0102</t>
  </si>
  <si>
    <t>A0405</t>
  </si>
  <si>
    <t>A0602</t>
  </si>
  <si>
    <t>EN 1.4541</t>
  </si>
  <si>
    <t>A1002</t>
  </si>
  <si>
    <t>EN 1.4003</t>
  </si>
  <si>
    <t>F0504</t>
  </si>
  <si>
    <t>EN 1.4571</t>
  </si>
  <si>
    <t>A0702</t>
  </si>
  <si>
    <t>A0502</t>
  </si>
  <si>
    <t>316TI</t>
  </si>
  <si>
    <t>A0701</t>
  </si>
  <si>
    <t>JSLU DD</t>
  </si>
  <si>
    <t>J1401</t>
  </si>
  <si>
    <t>316L Cr &gt;= 17%</t>
  </si>
  <si>
    <t>A0610</t>
  </si>
  <si>
    <t>J0301</t>
  </si>
  <si>
    <t>J0901</t>
  </si>
  <si>
    <t>A0101</t>
  </si>
  <si>
    <t>F0901</t>
  </si>
  <si>
    <t>A0202</t>
  </si>
  <si>
    <t>A0201</t>
  </si>
  <si>
    <t>A0404</t>
  </si>
  <si>
    <t>J0401</t>
  </si>
  <si>
    <t>F0202</t>
  </si>
  <si>
    <t>F0501</t>
  </si>
  <si>
    <t>A0802</t>
  </si>
  <si>
    <t>A1101</t>
  </si>
  <si>
    <t>A1001</t>
  </si>
  <si>
    <t>F0204</t>
  </si>
  <si>
    <t>IRSM44-97</t>
  </si>
  <si>
    <t>F0503</t>
  </si>
  <si>
    <t>A0603</t>
  </si>
  <si>
    <t>A0301</t>
  </si>
  <si>
    <t>D0201</t>
  </si>
  <si>
    <t>IS 11513 CR1</t>
  </si>
  <si>
    <t>MS103</t>
  </si>
  <si>
    <t>A1702</t>
  </si>
  <si>
    <t>A1003</t>
  </si>
  <si>
    <t>316 C &gt; 0.04%</t>
  </si>
  <si>
    <t>A0607</t>
  </si>
  <si>
    <t>EN10025-2 S355 JO+AR</t>
  </si>
  <si>
    <t>MS96</t>
  </si>
  <si>
    <t>F0614</t>
  </si>
  <si>
    <t>JD1 - T</t>
  </si>
  <si>
    <t>MS86</t>
  </si>
  <si>
    <t>A1007</t>
  </si>
  <si>
    <t>JSLU SD-M</t>
  </si>
  <si>
    <t>J1504</t>
  </si>
  <si>
    <t>304L Co &lt; 0.025%</t>
  </si>
  <si>
    <t>A0425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</si>
</sst>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font>
    <font>
      <b/>
      <sz val="12"/>
      <color rgb="FFFFFFFF"/>
      <name val="Verdana"/>
      <family val="2"/>
    </font>
    <font>
      <b/>
      <sz val="10"/>
      <color rgb="FF000000"/>
      <name val="Verdana"/>
      <family val="2"/>
    </font>
    <font>
      <b/>
      <sz val="16"/>
      <color theme="1"/>
      <name val="Calibri"/>
      <family val="2"/>
      <scheme val="minor"/>
    </font>
    <font>
      <b/>
      <sz val="18"/>
      <color rgb="FFFF0000"/>
      <name val="Calibri"/>
      <family val="2"/>
      <scheme val="minor"/>
    </font>
    <font>
      <b/>
      <sz val="12"/>
      <color theme="1"/>
      <name val="Calibri"/>
      <family val="2"/>
      <scheme val="minor"/>
    </font>
    <font>
      <b/>
      <sz val="12"/>
      <color rgb="FFFF0000"/>
      <name val="Calibri"/>
      <family val="2"/>
      <scheme val="minor"/>
    </font>
    <font>
      <b/>
      <sz val="9"/>
      <color rgb="FF000040"/>
      <name val="Verdana"/>
      <family val="2"/>
    </font>
    <font>
      <b/>
      <sz val="10"/>
      <color rgb="FFFFFFFF"/>
      <name val="Verdana"/>
      <family val="2"/>
    </font>
  </fonts>
  <fills count="12">
    <fill>
      <patternFill patternType="none"/>
    </fill>
    <fill>
      <patternFill patternType="gray125"/>
    </fill>
    <fill>
      <patternFill patternType="solid">
        <fgColor rgb="FFFFFF00"/>
        <bgColor indexed="64"/>
      </patternFill>
    </fill>
    <fill>
      <patternFill patternType="solid">
        <fgColor rgb="FF001122"/>
        <bgColor indexed="64"/>
      </patternFill>
    </fill>
    <fill>
      <patternFill patternType="solid">
        <fgColor rgb="FFD5EAFF"/>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rgb="FF000040"/>
        <bgColor indexed="64"/>
      </patternFill>
    </fill>
    <fill>
      <patternFill patternType="solid">
        <fgColor rgb="FFD6D6D6"/>
        <bgColor indexed="64"/>
      </patternFill>
    </fill>
    <fill>
      <patternFill patternType="solid">
        <fgColor rgb="FFF5F5F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38">
    <xf numFmtId="0" fontId="0" fillId="0" borderId="0" xfId="0"/>
    <xf numFmtId="0" fontId="0" fillId="0" borderId="1" xfId="0" applyBorder="1"/>
    <xf numFmtId="0" fontId="1" fillId="3" borderId="2" xfId="0" applyFont="1" applyFill="1" applyBorder="1" applyAlignment="1">
      <alignment vertical="center" wrapText="1"/>
    </xf>
    <xf numFmtId="0" fontId="2" fillId="0" borderId="2" xfId="0" applyFont="1" applyBorder="1" applyAlignment="1">
      <alignment vertical="center" wrapText="1"/>
    </xf>
    <xf numFmtId="0" fontId="2" fillId="4" borderId="2" xfId="0" applyFont="1" applyFill="1" applyBorder="1" applyAlignment="1">
      <alignment vertical="center" wrapText="1"/>
    </xf>
    <xf numFmtId="11" fontId="2" fillId="0" borderId="2" xfId="0" applyNumberFormat="1" applyFont="1" applyBorder="1" applyAlignment="1">
      <alignment vertical="center" wrapText="1"/>
    </xf>
    <xf numFmtId="49" fontId="2" fillId="0" borderId="2" xfId="0" applyNumberFormat="1" applyFont="1" applyBorder="1" applyAlignment="1">
      <alignment vertical="center" wrapText="1"/>
    </xf>
    <xf numFmtId="0" fontId="4" fillId="2" borderId="1" xfId="0" applyFont="1" applyFill="1" applyBorder="1" applyAlignment="1">
      <alignment horizontal="center"/>
    </xf>
    <xf numFmtId="0" fontId="0" fillId="0" borderId="1" xfId="0"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6" fillId="2" borderId="1" xfId="0" applyFont="1" applyFill="1" applyBorder="1" applyAlignment="1">
      <alignment horizontal="center" vertical="center"/>
    </xf>
    <xf numFmtId="0" fontId="5" fillId="0" borderId="1" xfId="0" applyFont="1" applyBorder="1" applyAlignment="1">
      <alignment horizontal="left" vertical="center"/>
    </xf>
    <xf numFmtId="0" fontId="7" fillId="10"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11" fontId="7" fillId="10" borderId="2" xfId="0" applyNumberFormat="1" applyFont="1" applyFill="1" applyBorder="1" applyAlignment="1">
      <alignment horizontal="center" vertical="center" wrapText="1"/>
    </xf>
    <xf numFmtId="11" fontId="7" fillId="8" borderId="2" xfId="0" applyNumberFormat="1" applyFont="1" applyFill="1" applyBorder="1" applyAlignment="1">
      <alignment horizontal="center" vertical="center" wrapText="1"/>
    </xf>
    <xf numFmtId="0" fontId="7" fillId="10" borderId="8" xfId="0" applyFont="1" applyFill="1" applyBorder="1" applyAlignment="1">
      <alignment horizontal="center" vertical="center" wrapText="1"/>
    </xf>
    <xf numFmtId="0" fontId="7" fillId="10" borderId="9" xfId="0" applyFont="1" applyFill="1" applyBorder="1" applyAlignment="1">
      <alignment horizontal="center" vertical="center" wrapText="1"/>
    </xf>
    <xf numFmtId="0" fontId="7" fillId="8" borderId="8"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8" fillId="9" borderId="5" xfId="0" applyFont="1" applyFill="1" applyBorder="1" applyAlignment="1">
      <alignment horizontal="center" vertical="center" wrapText="1"/>
    </xf>
    <xf numFmtId="0" fontId="8" fillId="9" borderId="6" xfId="0" applyFont="1" applyFill="1" applyBorder="1" applyAlignment="1">
      <alignment horizontal="center" vertical="center" wrapText="1"/>
    </xf>
    <xf numFmtId="0" fontId="8" fillId="9" borderId="7" xfId="0" applyFont="1" applyFill="1" applyBorder="1" applyAlignment="1">
      <alignment horizontal="center" vertical="center" wrapText="1"/>
    </xf>
    <xf numFmtId="0" fontId="3" fillId="5" borderId="3" xfId="0" applyFont="1" applyFill="1" applyBorder="1" applyAlignment="1">
      <alignment horizontal="center" vertical="center"/>
    </xf>
    <xf numFmtId="0" fontId="0" fillId="0" borderId="1" xfId="0" applyBorder="1" applyAlignment="1">
      <alignment horizontal="center" vertical="center"/>
    </xf>
    <xf numFmtId="0" fontId="0" fillId="11" borderId="10" xfId="0" applyFill="1" applyBorder="1" applyAlignment="1">
      <alignment horizontal="center" vertical="top" wrapText="1"/>
    </xf>
    <xf numFmtId="0" fontId="0" fillId="11" borderId="4" xfId="0" applyFill="1" applyBorder="1" applyAlignment="1">
      <alignment horizontal="center" vertical="top" wrapText="1"/>
    </xf>
    <xf numFmtId="0" fontId="0" fillId="11" borderId="11" xfId="0" applyFill="1" applyBorder="1" applyAlignment="1">
      <alignment horizontal="center" vertical="top" wrapText="1"/>
    </xf>
    <xf numFmtId="0" fontId="0" fillId="11" borderId="12" xfId="0" applyFill="1" applyBorder="1" applyAlignment="1">
      <alignment horizontal="center" vertical="top" wrapText="1"/>
    </xf>
    <xf numFmtId="0" fontId="0" fillId="11" borderId="0" xfId="0" applyFill="1" applyAlignment="1">
      <alignment horizontal="center" vertical="top" wrapText="1"/>
    </xf>
    <xf numFmtId="0" fontId="0" fillId="11" borderId="13" xfId="0" applyFill="1" applyBorder="1" applyAlignment="1">
      <alignment horizontal="center" vertical="top" wrapText="1"/>
    </xf>
    <xf numFmtId="0" fontId="0" fillId="11" borderId="14" xfId="0" applyFill="1" applyBorder="1" applyAlignment="1">
      <alignment horizontal="center" vertical="top" wrapText="1"/>
    </xf>
    <xf numFmtId="0" fontId="0" fillId="11" borderId="15" xfId="0" applyFill="1" applyBorder="1" applyAlignment="1">
      <alignment horizontal="center" vertical="top" wrapText="1"/>
    </xf>
    <xf numFmtId="0" fontId="0" fillId="11" borderId="16" xfId="0" applyFill="1" applyBorder="1" applyAlignment="1">
      <alignment horizontal="center" vertical="top" wrapText="1"/>
    </xf>
  </cellXfs>
  <cellStyles count="1">
    <cellStyle name="Normal" xfId="0" builtinId="0"/>
  </cellStyles>
  <dxfs count="0"/>
  <tableStyles count="0" defaultTableStyle="TableStyleMedium2" defaultPivotStyle="PivotStyleLight16"/>
  <colors>
    <mruColors>
      <color rgb="FFF4867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04"/>
  <sheetViews>
    <sheetView tabSelected="1" workbookViewId="0">
      <selection activeCell="AP28" sqref="AP28"/>
    </sheetView>
  </sheetViews>
  <sheetFormatPr baseColWidth="10" defaultColWidth="8.83203125" defaultRowHeight="15" x14ac:dyDescent="0.2"/>
  <cols>
    <col min="1" max="1" width="28.1640625" customWidth="1"/>
    <col min="42" max="42" width="211.83203125" bestFit="1" customWidth="1"/>
  </cols>
  <sheetData>
    <row r="1" spans="1:42" ht="34" x14ac:dyDescent="0.2">
      <c r="A1" s="2" t="s">
        <v>8</v>
      </c>
      <c r="B1" s="2" t="s">
        <v>9</v>
      </c>
      <c r="C1" s="2" t="s">
        <v>10</v>
      </c>
      <c r="D1" s="2" t="s">
        <v>11</v>
      </c>
      <c r="E1" s="2" t="s">
        <v>12</v>
      </c>
      <c r="F1" s="2" t="s">
        <v>13</v>
      </c>
      <c r="G1" s="2" t="s">
        <v>14</v>
      </c>
      <c r="H1" s="2" t="s">
        <v>15</v>
      </c>
      <c r="I1" s="2" t="s">
        <v>16</v>
      </c>
      <c r="J1" s="2" t="s">
        <v>17</v>
      </c>
      <c r="K1" s="2" t="s">
        <v>18</v>
      </c>
      <c r="L1" s="2" t="s">
        <v>19</v>
      </c>
      <c r="M1" s="2" t="s">
        <v>20</v>
      </c>
      <c r="N1" s="2" t="s">
        <v>21</v>
      </c>
      <c r="O1" s="2" t="s">
        <v>22</v>
      </c>
      <c r="P1" s="2" t="s">
        <v>23</v>
      </c>
      <c r="Q1" s="2" t="s">
        <v>24</v>
      </c>
      <c r="R1" s="2" t="s">
        <v>25</v>
      </c>
      <c r="S1" s="2" t="s">
        <v>26</v>
      </c>
      <c r="T1" s="2" t="s">
        <v>27</v>
      </c>
      <c r="U1" s="2" t="s">
        <v>28</v>
      </c>
      <c r="V1" s="2" t="s">
        <v>29</v>
      </c>
      <c r="W1" s="2" t="s">
        <v>30</v>
      </c>
      <c r="X1" s="2" t="s">
        <v>31</v>
      </c>
      <c r="Y1" s="2" t="s">
        <v>32</v>
      </c>
      <c r="Z1" s="2" t="s">
        <v>33</v>
      </c>
      <c r="AA1" s="2" t="s">
        <v>34</v>
      </c>
      <c r="AB1" s="2" t="s">
        <v>35</v>
      </c>
      <c r="AC1" s="2" t="s">
        <v>36</v>
      </c>
      <c r="AD1" s="2" t="s">
        <v>37</v>
      </c>
      <c r="AE1" s="2" t="s">
        <v>38</v>
      </c>
      <c r="AF1" s="2" t="s">
        <v>39</v>
      </c>
      <c r="AG1" s="2" t="s">
        <v>40</v>
      </c>
      <c r="AH1" s="2" t="s">
        <v>41</v>
      </c>
      <c r="AI1" s="2" t="s">
        <v>42</v>
      </c>
      <c r="AJ1" s="2" t="s">
        <v>43</v>
      </c>
      <c r="AK1" s="2" t="s">
        <v>44</v>
      </c>
      <c r="AL1" s="2" t="s">
        <v>45</v>
      </c>
      <c r="AM1" s="2" t="s">
        <v>46</v>
      </c>
      <c r="AN1" s="2" t="s">
        <v>47</v>
      </c>
      <c r="AO1" s="2" t="s">
        <v>48</v>
      </c>
    </row>
    <row r="2" spans="1:42" x14ac:dyDescent="0.2">
      <c r="A2" s="3" t="s">
        <v>49</v>
      </c>
      <c r="B2" s="3">
        <v>6.1000000000000004E-3</v>
      </c>
      <c r="C2" s="3">
        <v>2.1999999999999999E-2</v>
      </c>
      <c r="D2" s="3">
        <v>0.2</v>
      </c>
      <c r="E2" s="3">
        <v>1.3</v>
      </c>
      <c r="F2" s="3">
        <v>1E-3</v>
      </c>
      <c r="G2" s="3">
        <v>8.0000000000000002E-3</v>
      </c>
      <c r="H2" s="3">
        <v>2.7E-2</v>
      </c>
      <c r="I2" s="3">
        <v>0.04</v>
      </c>
      <c r="J2" s="3">
        <v>0.4</v>
      </c>
      <c r="K2" s="3">
        <v>0.7</v>
      </c>
      <c r="L2" s="3">
        <v>0.06</v>
      </c>
      <c r="M2" s="3">
        <v>0.3</v>
      </c>
      <c r="N2" s="3">
        <v>11.08</v>
      </c>
      <c r="O2" s="3">
        <v>11.7</v>
      </c>
      <c r="P2" s="3">
        <v>0.01</v>
      </c>
      <c r="Q2" s="3">
        <v>0.2</v>
      </c>
      <c r="R2" s="3">
        <v>0.01</v>
      </c>
      <c r="S2" s="3">
        <v>0.04</v>
      </c>
      <c r="T2" s="3">
        <v>1E-3</v>
      </c>
      <c r="U2" s="3">
        <v>0.28000000000000003</v>
      </c>
      <c r="V2" s="3">
        <v>0.02</v>
      </c>
      <c r="W2" s="3">
        <v>0.05</v>
      </c>
      <c r="X2" s="3">
        <v>0</v>
      </c>
      <c r="Y2" s="3">
        <v>4.4000000000000004</v>
      </c>
      <c r="Z2" s="3">
        <v>6.7000000000000002E-3</v>
      </c>
      <c r="AA2" s="3">
        <v>2.8899999999999999E-2</v>
      </c>
      <c r="AB2" s="3">
        <v>1.8E-3</v>
      </c>
      <c r="AC2" s="3">
        <v>6.4000000000000003E-3</v>
      </c>
      <c r="AD2" s="3">
        <v>2E-3</v>
      </c>
      <c r="AE2" s="3">
        <v>3.1E-2</v>
      </c>
      <c r="AF2" s="3">
        <v>2E-3</v>
      </c>
      <c r="AG2" s="3">
        <v>5.9799999999999999E-2</v>
      </c>
      <c r="AH2" s="3">
        <v>2.9999999999999997E-4</v>
      </c>
      <c r="AI2" s="3">
        <v>1.8E-3</v>
      </c>
      <c r="AJ2" s="3">
        <v>0</v>
      </c>
      <c r="AK2" s="3">
        <v>8.0000000000000004E-4</v>
      </c>
      <c r="AL2" s="3">
        <v>0.02</v>
      </c>
      <c r="AM2" s="3">
        <v>0.04</v>
      </c>
      <c r="AN2" s="3">
        <v>1E-3</v>
      </c>
      <c r="AO2" s="3">
        <v>1.2E-2</v>
      </c>
      <c r="AP2" t="str">
        <f>"('"&amp;A2&amp;"', "&amp;_xlfn.TEXTJOIN(", ", TRUE, B2:AO2)&amp;"),"</f>
        <v>('409L %C&lt;0.007', 0.0061, 0.022, 0.2, 1.3, 0.001, 0.008, 0.027, 0.04, 0.4, 0.7, 0.06, 0.3, 11.08, 11.7, 0.01, 0.2, 0.01, 0.04, 0.001, 0.28, 0.02, 0.05, 0, 4.4, 0.0067, 0.0289, 0.0018, 0.0064, 0.002, 0.031, 0.002, 0.0598, 0.0003, 0.0018, 0, 0.0008, 0.02, 0.04, 0.001, 0.012),</v>
      </c>
    </row>
    <row r="3" spans="1:42" x14ac:dyDescent="0.2">
      <c r="A3" s="4" t="s">
        <v>50</v>
      </c>
      <c r="B3" s="4">
        <v>0.65</v>
      </c>
      <c r="C3" s="4">
        <v>0.7</v>
      </c>
      <c r="D3" s="4">
        <v>0.6</v>
      </c>
      <c r="E3" s="4">
        <v>0.73</v>
      </c>
      <c r="F3" s="4">
        <v>1E-3</v>
      </c>
      <c r="G3" s="4">
        <v>6.0000000000000001E-3</v>
      </c>
      <c r="H3" s="4">
        <v>2.1000000000000001E-2</v>
      </c>
      <c r="I3" s="4">
        <v>2.5000000000000001E-2</v>
      </c>
      <c r="J3" s="4">
        <v>0.19</v>
      </c>
      <c r="K3" s="4">
        <v>0.41</v>
      </c>
      <c r="L3" s="4">
        <v>0.05</v>
      </c>
      <c r="M3" s="4">
        <v>0.23</v>
      </c>
      <c r="N3" s="4">
        <v>13</v>
      </c>
      <c r="O3" s="4">
        <v>13.48</v>
      </c>
      <c r="P3" s="4">
        <v>0.01</v>
      </c>
      <c r="Q3" s="4">
        <v>0.1</v>
      </c>
      <c r="R3" s="4">
        <v>0.01</v>
      </c>
      <c r="S3" s="4">
        <v>0.04</v>
      </c>
      <c r="T3" s="4">
        <v>1E-3</v>
      </c>
      <c r="U3" s="4">
        <v>5.0000000000000001E-3</v>
      </c>
      <c r="V3" s="4">
        <v>0.1</v>
      </c>
      <c r="W3" s="4">
        <v>0.13</v>
      </c>
      <c r="X3" s="4">
        <v>0</v>
      </c>
      <c r="Y3" s="4">
        <v>5.9</v>
      </c>
      <c r="Z3" s="4">
        <v>1.61E-2</v>
      </c>
      <c r="AA3" s="4">
        <v>3.5000000000000003E-2</v>
      </c>
      <c r="AB3" s="4">
        <v>2E-3</v>
      </c>
      <c r="AC3" s="4">
        <v>6.7999999999999996E-3</v>
      </c>
      <c r="AD3" s="4">
        <v>1.6999999999999999E-3</v>
      </c>
      <c r="AE3" s="4">
        <v>7.7999999999999996E-3</v>
      </c>
      <c r="AF3" s="4">
        <v>2E-3</v>
      </c>
      <c r="AG3" s="4">
        <v>7.0000000000000001E-3</v>
      </c>
      <c r="AH3" s="4">
        <v>0</v>
      </c>
      <c r="AI3" s="4">
        <v>1.5E-3</v>
      </c>
      <c r="AJ3" s="4">
        <v>1E-4</v>
      </c>
      <c r="AK3" s="4">
        <v>8.0000000000000004E-4</v>
      </c>
      <c r="AL3" s="4">
        <v>0.02</v>
      </c>
      <c r="AM3" s="4">
        <v>0.04</v>
      </c>
      <c r="AN3" s="4">
        <v>0</v>
      </c>
      <c r="AO3" s="4">
        <v>8.0000000000000002E-3</v>
      </c>
      <c r="AP3" t="str">
        <f t="shared" ref="AP3:AP66" si="0">"('"&amp;A3&amp;"', "&amp;_xlfn.TEXTJOIN(", ", TRUE, B3:AO3)&amp;"),"</f>
        <v>('X55CR14MO', 0.65, 0.7, 0.6, 0.73, 0.001, 0.006, 0.021, 0.025, 0.19, 0.41, 0.05, 0.23, 13, 13.48, 0.01, 0.1, 0.01, 0.04, 0.001, 0.005, 0.1, 0.13, 0, 5.9, 0.0161, 0.035, 0.002, 0.0068, 0.0017, 0.0078, 0.002, 0.007, 0, 0.0015, 0.0001, 0.0008, 0.02, 0.04, 0, 0.008),</v>
      </c>
    </row>
    <row r="4" spans="1:42" x14ac:dyDescent="0.2">
      <c r="A4" s="6" t="s">
        <v>229</v>
      </c>
      <c r="B4" s="3">
        <v>0</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0</v>
      </c>
      <c r="AE4" s="3">
        <v>0</v>
      </c>
      <c r="AF4" s="3">
        <v>0</v>
      </c>
      <c r="AG4" s="3">
        <v>0</v>
      </c>
      <c r="AH4" s="3">
        <v>0</v>
      </c>
      <c r="AI4" s="3">
        <v>0</v>
      </c>
      <c r="AJ4" s="3">
        <v>0</v>
      </c>
      <c r="AK4" s="3">
        <v>0</v>
      </c>
      <c r="AL4" s="3">
        <v>0</v>
      </c>
      <c r="AM4" s="3">
        <v>0</v>
      </c>
      <c r="AN4" s="3">
        <v>0</v>
      </c>
      <c r="AO4" s="3">
        <v>0</v>
      </c>
      <c r="AP4" t="str">
        <f t="shared" si="0"/>
        <v>('2.062E253', 0, 0, 0, 0, 0, 0, 0, 0, 0, 0, 0, 0, 0, 0, 0, 0, 0, 0, 0, 0, 0, 0, 0, 0, 0, 0, 0, 0, 0, 0, 0, 0, 0, 0, 0, 0, 0, 0, 0, 0),</v>
      </c>
    </row>
    <row r="5" spans="1:42" x14ac:dyDescent="0.2">
      <c r="A5" s="4" t="s">
        <v>51</v>
      </c>
      <c r="B5" s="4">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t="str">
        <f t="shared" si="0"/>
        <v>('EN100252S355JRAR', 0, 0, 0, 0, 0, 0, 0, 0, 0, 0, 0, 0, 0, 0, 0, 0, 0, 0, 0, 0, 0, 0, 0, 0, 0, 0, 0, 0, 0, 0, 0, 0, 0, 0, 0, 0, 0, 0, 0, 0),</v>
      </c>
    </row>
    <row r="6" spans="1:42" x14ac:dyDescent="0.2">
      <c r="A6" s="3" t="s">
        <v>52</v>
      </c>
      <c r="B6" s="3">
        <v>0</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c r="AH6" s="3">
        <v>0</v>
      </c>
      <c r="AI6" s="3">
        <v>0</v>
      </c>
      <c r="AJ6" s="3">
        <v>0</v>
      </c>
      <c r="AK6" s="3">
        <v>0</v>
      </c>
      <c r="AL6" s="3">
        <v>0</v>
      </c>
      <c r="AM6" s="3">
        <v>0</v>
      </c>
      <c r="AN6" s="3">
        <v>0</v>
      </c>
      <c r="AO6" s="3">
        <v>0</v>
      </c>
      <c r="AP6" t="str">
        <f t="shared" si="0"/>
        <v>('SAE1006', 0, 0, 0, 0, 0, 0, 0, 0, 0, 0, 0, 0, 0, 0, 0, 0, 0, 0, 0, 0, 0, 0, 0, 0, 0, 0, 0, 0, 0, 0, 0, 0, 0, 0, 0, 0, 0, 0, 0, 0),</v>
      </c>
    </row>
    <row r="7" spans="1:42" x14ac:dyDescent="0.2">
      <c r="A7" s="4" t="s">
        <v>53</v>
      </c>
      <c r="B7" s="4">
        <v>0.02</v>
      </c>
      <c r="C7" s="4">
        <v>0.06</v>
      </c>
      <c r="D7" s="4">
        <v>0.1</v>
      </c>
      <c r="E7" s="4">
        <v>0.25</v>
      </c>
      <c r="F7" s="4">
        <v>1.2999999999999999E-3</v>
      </c>
      <c r="G7" s="4">
        <v>2.5000000000000001E-2</v>
      </c>
      <c r="H7" s="4">
        <v>8.0000000000000002E-3</v>
      </c>
      <c r="I7" s="4">
        <v>0.03</v>
      </c>
      <c r="J7" s="4">
        <v>6.0000000000000001E-3</v>
      </c>
      <c r="K7" s="4">
        <v>0.03</v>
      </c>
      <c r="L7" s="4">
        <v>0</v>
      </c>
      <c r="M7" s="4">
        <v>2.5000000000000001E-2</v>
      </c>
      <c r="N7" s="4">
        <v>0</v>
      </c>
      <c r="O7" s="4">
        <v>1.4999999999999999E-2</v>
      </c>
      <c r="P7" s="4">
        <v>0</v>
      </c>
      <c r="Q7" s="4">
        <v>8.0000000000000002E-3</v>
      </c>
      <c r="R7" s="4">
        <v>0</v>
      </c>
      <c r="S7" s="4">
        <v>1.5E-3</v>
      </c>
      <c r="T7" s="4">
        <v>0</v>
      </c>
      <c r="U7" s="4">
        <v>1.5E-3</v>
      </c>
      <c r="V7" s="4">
        <v>0</v>
      </c>
      <c r="W7" s="4">
        <v>1.5E-3</v>
      </c>
      <c r="X7" s="4">
        <v>0</v>
      </c>
      <c r="Y7" s="4">
        <v>0</v>
      </c>
      <c r="Z7" s="4">
        <v>0.1</v>
      </c>
      <c r="AA7" s="4">
        <v>7.0000000000000001E-3</v>
      </c>
      <c r="AB7" s="4">
        <v>0</v>
      </c>
      <c r="AC7" s="4">
        <v>0</v>
      </c>
      <c r="AD7" s="4">
        <v>0</v>
      </c>
      <c r="AE7" s="4">
        <v>0</v>
      </c>
      <c r="AF7" s="4">
        <v>1.9E-2</v>
      </c>
      <c r="AG7" s="4">
        <v>0.06</v>
      </c>
      <c r="AH7" s="4">
        <v>0</v>
      </c>
      <c r="AI7" s="4">
        <v>1.6000000000000001E-3</v>
      </c>
      <c r="AJ7" s="4">
        <v>0</v>
      </c>
      <c r="AK7" s="4">
        <v>8.0000000000000004E-4</v>
      </c>
      <c r="AL7" s="4">
        <v>0</v>
      </c>
      <c r="AM7" s="4">
        <v>0</v>
      </c>
      <c r="AN7" s="4">
        <v>0</v>
      </c>
      <c r="AO7" s="4">
        <v>1.5E-3</v>
      </c>
      <c r="AP7" t="str">
        <f t="shared" si="0"/>
        <v>('IS11513CR1', 0.02, 0.06, 0.1, 0.25, 0.0013, 0.025, 0.008, 0.03, 0.006, 0.03, 0, 0.025, 0, 0.015, 0, 0.008, 0, 0.0015, 0, 0.0015, 0, 0.0015, 0, 0, 0.1, 0.007, 0, 0, 0, 0, 0.019, 0.06, 0, 0.0016, 0, 0.0008, 0, 0, 0, 0.0015),</v>
      </c>
    </row>
    <row r="8" spans="1:42" x14ac:dyDescent="0.2">
      <c r="A8" s="3" t="s">
        <v>54</v>
      </c>
      <c r="B8" s="3">
        <v>0</v>
      </c>
      <c r="C8" s="3">
        <v>0</v>
      </c>
      <c r="D8" s="3">
        <v>0</v>
      </c>
      <c r="E8" s="3">
        <v>0</v>
      </c>
      <c r="F8" s="3">
        <v>0</v>
      </c>
      <c r="G8" s="3">
        <v>0</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c r="AB8" s="3">
        <v>0</v>
      </c>
      <c r="AC8" s="3">
        <v>0</v>
      </c>
      <c r="AD8" s="3">
        <v>0</v>
      </c>
      <c r="AE8" s="3">
        <v>0</v>
      </c>
      <c r="AF8" s="3">
        <v>0</v>
      </c>
      <c r="AG8" s="3">
        <v>0</v>
      </c>
      <c r="AH8" s="3">
        <v>0</v>
      </c>
      <c r="AI8" s="3">
        <v>0</v>
      </c>
      <c r="AJ8" s="3">
        <v>0</v>
      </c>
      <c r="AK8" s="3">
        <v>0</v>
      </c>
      <c r="AL8" s="3">
        <v>0</v>
      </c>
      <c r="AM8" s="3">
        <v>0</v>
      </c>
      <c r="AN8" s="3">
        <v>0</v>
      </c>
      <c r="AO8" s="3">
        <v>0</v>
      </c>
      <c r="AP8" t="str">
        <f t="shared" si="0"/>
        <v>('IS2062E350C', 0, 0, 0, 0, 0, 0, 0, 0, 0, 0, 0, 0, 0, 0, 0, 0, 0, 0, 0, 0, 0, 0, 0, 0, 0, 0, 0, 0, 0, 0, 0, 0, 0, 0, 0, 0, 0, 0, 0, 0),</v>
      </c>
    </row>
    <row r="9" spans="1:42" x14ac:dyDescent="0.2">
      <c r="A9" s="4" t="s">
        <v>55</v>
      </c>
      <c r="B9" s="4">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t="str">
        <f t="shared" si="0"/>
        <v>('EN100252S355JOAR', 0, 0, 0, 0, 0, 0, 0, 0, 0, 0, 0, 0, 0, 0, 0, 0, 0, 0, 0, 0, 0, 0, 0, 0, 0, 0, 0, 0, 0, 0, 0, 0, 0, 0, 0, 0, 0, 0, 0, 0),</v>
      </c>
    </row>
    <row r="10" spans="1:42" x14ac:dyDescent="0.2">
      <c r="A10" s="3" t="s">
        <v>56</v>
      </c>
      <c r="B10" s="3">
        <v>0</v>
      </c>
      <c r="C10" s="3">
        <v>0</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c r="AD10" s="3">
        <v>0</v>
      </c>
      <c r="AE10" s="3">
        <v>0</v>
      </c>
      <c r="AF10" s="3">
        <v>0</v>
      </c>
      <c r="AG10" s="3">
        <v>0</v>
      </c>
      <c r="AH10" s="3">
        <v>0</v>
      </c>
      <c r="AI10" s="3">
        <v>0</v>
      </c>
      <c r="AJ10" s="3">
        <v>0</v>
      </c>
      <c r="AK10" s="3">
        <v>0</v>
      </c>
      <c r="AL10" s="3">
        <v>0</v>
      </c>
      <c r="AM10" s="3">
        <v>0</v>
      </c>
      <c r="AN10" s="3">
        <v>0</v>
      </c>
      <c r="AO10" s="3">
        <v>0</v>
      </c>
      <c r="AP10" t="str">
        <f t="shared" si="0"/>
        <v>('JD1-T', 0, 0, 0, 0, 0, 0, 0, 0, 0, 0, 0, 0, 0, 0, 0, 0, 0, 0, 0, 0, 0, 0, 0, 0, 0, 0, 0, 0, 0, 0, 0, 0, 0, 0, 0, 0, 0, 0, 0, 0),</v>
      </c>
    </row>
    <row r="11" spans="1:42" x14ac:dyDescent="0.2">
      <c r="A11" s="4" t="s">
        <v>57</v>
      </c>
      <c r="B11" s="4">
        <v>0.02</v>
      </c>
      <c r="C11" s="4">
        <v>0.1</v>
      </c>
      <c r="D11" s="4">
        <v>0.1</v>
      </c>
      <c r="E11" s="4">
        <v>0.5</v>
      </c>
      <c r="F11" s="4">
        <v>4.0000000000000001E-3</v>
      </c>
      <c r="G11" s="4">
        <v>0.03</v>
      </c>
      <c r="H11" s="4">
        <v>6.0000000000000001E-3</v>
      </c>
      <c r="I11" s="4">
        <v>0.04</v>
      </c>
      <c r="J11" s="4">
        <v>4.0000000000000001E-3</v>
      </c>
      <c r="K11" s="4">
        <v>0.4</v>
      </c>
      <c r="L11" s="4">
        <v>1.4999999999999999E-2</v>
      </c>
      <c r="M11" s="4">
        <v>0.06</v>
      </c>
      <c r="N11" s="4">
        <v>1.4999999999999999E-2</v>
      </c>
      <c r="O11" s="4">
        <v>0.06</v>
      </c>
      <c r="P11" s="4">
        <v>6.0000000000000001E-3</v>
      </c>
      <c r="Q11" s="4">
        <v>0.06</v>
      </c>
      <c r="R11" s="4">
        <v>8.0000000000000004E-4</v>
      </c>
      <c r="S11" s="4">
        <v>0.01</v>
      </c>
      <c r="T11" s="4">
        <v>8.0000000000000004E-4</v>
      </c>
      <c r="U11" s="4">
        <v>0.02</v>
      </c>
      <c r="V11" s="4">
        <v>8.0000000000000004E-4</v>
      </c>
      <c r="W11" s="4">
        <v>0.02</v>
      </c>
      <c r="X11" s="4">
        <v>0</v>
      </c>
      <c r="Y11" s="4">
        <v>0</v>
      </c>
      <c r="Z11" s="4">
        <v>2.8E-3</v>
      </c>
      <c r="AA11" s="4">
        <v>1.2E-2</v>
      </c>
      <c r="AB11" s="4">
        <v>0</v>
      </c>
      <c r="AC11" s="4">
        <v>0</v>
      </c>
      <c r="AD11" s="4">
        <v>0</v>
      </c>
      <c r="AE11" s="4">
        <v>0</v>
      </c>
      <c r="AF11" s="4">
        <v>0.02</v>
      </c>
      <c r="AG11" s="4">
        <v>0.08</v>
      </c>
      <c r="AH11" s="4">
        <v>8.0000000000000004E-4</v>
      </c>
      <c r="AI11" s="4">
        <v>0.01</v>
      </c>
      <c r="AJ11" s="4">
        <v>6.9999999999999999E-4</v>
      </c>
      <c r="AK11" s="4">
        <v>3.0000000000000001E-3</v>
      </c>
      <c r="AL11" s="4">
        <v>0</v>
      </c>
      <c r="AM11" s="4">
        <v>0</v>
      </c>
      <c r="AN11" s="4">
        <v>8.0000000000000004E-4</v>
      </c>
      <c r="AO11" s="4">
        <v>0.02</v>
      </c>
      <c r="AP11" t="str">
        <f t="shared" si="0"/>
        <v>('IS10748GR1', 0.02, 0.1, 0.1, 0.5, 0.004, 0.03, 0.006, 0.04, 0.004, 0.4, 0.015, 0.06, 0.015, 0.06, 0.006, 0.06, 0.0008, 0.01, 0.0008, 0.02, 0.0008, 0.02, 0, 0, 0.0028, 0.012, 0, 0, 0, 0, 0.02, 0.08, 0.0008, 0.01, 0.0007, 0.003, 0, 0, 0.0008, 0.02),</v>
      </c>
    </row>
    <row r="12" spans="1:42" x14ac:dyDescent="0.2">
      <c r="A12" s="3" t="s">
        <v>58</v>
      </c>
      <c r="B12" s="3">
        <v>0</v>
      </c>
      <c r="C12" s="3">
        <v>0</v>
      </c>
      <c r="D12" s="3">
        <v>0</v>
      </c>
      <c r="E12" s="3">
        <v>0</v>
      </c>
      <c r="F12" s="3">
        <v>0</v>
      </c>
      <c r="G12" s="3">
        <v>0</v>
      </c>
      <c r="H12" s="3">
        <v>0</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c r="AA12" s="3">
        <v>0</v>
      </c>
      <c r="AB12" s="3">
        <v>0</v>
      </c>
      <c r="AC12" s="3">
        <v>0</v>
      </c>
      <c r="AD12" s="3">
        <v>0</v>
      </c>
      <c r="AE12" s="3">
        <v>0</v>
      </c>
      <c r="AF12" s="3">
        <v>0</v>
      </c>
      <c r="AG12" s="3">
        <v>0</v>
      </c>
      <c r="AH12" s="3">
        <v>0</v>
      </c>
      <c r="AI12" s="3">
        <v>0</v>
      </c>
      <c r="AJ12" s="3">
        <v>0</v>
      </c>
      <c r="AK12" s="3">
        <v>0</v>
      </c>
      <c r="AL12" s="3">
        <v>0</v>
      </c>
      <c r="AM12" s="3">
        <v>0</v>
      </c>
      <c r="AN12" s="3">
        <v>0</v>
      </c>
      <c r="AO12" s="3">
        <v>0</v>
      </c>
      <c r="AP12" t="str">
        <f t="shared" si="0"/>
        <v>('DS9513Type1', 0, 0, 0, 0, 0, 0, 0, 0, 0, 0, 0, 0, 0, 0, 0, 0, 0, 0, 0, 0, 0, 0, 0, 0, 0, 0, 0, 0, 0, 0, 0, 0, 0, 0, 0, 0, 0, 0, 0, 0),</v>
      </c>
    </row>
    <row r="13" spans="1:42" x14ac:dyDescent="0.2">
      <c r="A13" s="4" t="s">
        <v>59</v>
      </c>
      <c r="B13" s="4">
        <v>0</v>
      </c>
      <c r="C13" s="4">
        <v>0</v>
      </c>
      <c r="D13" s="4">
        <v>0</v>
      </c>
      <c r="E13" s="4">
        <v>0</v>
      </c>
      <c r="F13" s="4">
        <v>0</v>
      </c>
      <c r="G13" s="4">
        <v>0</v>
      </c>
      <c r="H13" s="4">
        <v>0</v>
      </c>
      <c r="I13" s="4">
        <v>0</v>
      </c>
      <c r="J13" s="4">
        <v>0</v>
      </c>
      <c r="K13" s="4">
        <v>0</v>
      </c>
      <c r="L13" s="4">
        <v>0</v>
      </c>
      <c r="M13" s="4">
        <v>0</v>
      </c>
      <c r="N13" s="4">
        <v>0</v>
      </c>
      <c r="O13" s="4">
        <v>0</v>
      </c>
      <c r="P13" s="4">
        <v>0</v>
      </c>
      <c r="Q13" s="4">
        <v>0</v>
      </c>
      <c r="R13" s="4">
        <v>0</v>
      </c>
      <c r="S13" s="4">
        <v>0</v>
      </c>
      <c r="T13" s="4">
        <v>0</v>
      </c>
      <c r="U13" s="4">
        <v>0</v>
      </c>
      <c r="V13" s="4">
        <v>0</v>
      </c>
      <c r="W13" s="4">
        <v>0</v>
      </c>
      <c r="X13" s="4">
        <v>0</v>
      </c>
      <c r="Y13" s="4">
        <v>0</v>
      </c>
      <c r="Z13" s="4">
        <v>0</v>
      </c>
      <c r="AA13" s="4">
        <v>0</v>
      </c>
      <c r="AB13" s="4">
        <v>0</v>
      </c>
      <c r="AC13" s="4">
        <v>0</v>
      </c>
      <c r="AD13" s="4">
        <v>0</v>
      </c>
      <c r="AE13" s="4">
        <v>0</v>
      </c>
      <c r="AF13" s="4">
        <v>0</v>
      </c>
      <c r="AG13" s="4">
        <v>0</v>
      </c>
      <c r="AH13" s="4">
        <v>0</v>
      </c>
      <c r="AI13" s="4">
        <v>0</v>
      </c>
      <c r="AJ13" s="4">
        <v>0</v>
      </c>
      <c r="AK13" s="4">
        <v>0</v>
      </c>
      <c r="AL13" s="4">
        <v>0</v>
      </c>
      <c r="AM13" s="4">
        <v>0</v>
      </c>
      <c r="AN13" s="4">
        <v>0</v>
      </c>
      <c r="AO13" s="4">
        <v>0</v>
      </c>
      <c r="AP13" t="str">
        <f t="shared" si="0"/>
        <v>('IRSM 450', 0, 0, 0, 0, 0, 0, 0, 0, 0, 0, 0, 0, 0, 0, 0, 0, 0, 0, 0, 0, 0, 0, 0, 0, 0, 0, 0, 0, 0, 0, 0, 0, 0, 0, 0, 0, 0, 0, 0, 0),</v>
      </c>
    </row>
    <row r="14" spans="1:42" x14ac:dyDescent="0.2">
      <c r="A14" s="3" t="s">
        <v>60</v>
      </c>
      <c r="B14" s="3">
        <v>0</v>
      </c>
      <c r="C14" s="3">
        <v>0</v>
      </c>
      <c r="D14" s="3">
        <v>0</v>
      </c>
      <c r="E14" s="3">
        <v>0</v>
      </c>
      <c r="F14" s="3">
        <v>0</v>
      </c>
      <c r="G14" s="3">
        <v>0</v>
      </c>
      <c r="H14" s="3">
        <v>0</v>
      </c>
      <c r="I14" s="3">
        <v>0</v>
      </c>
      <c r="J14" s="3">
        <v>0</v>
      </c>
      <c r="K14" s="3">
        <v>0</v>
      </c>
      <c r="L14" s="3">
        <v>0</v>
      </c>
      <c r="M14" s="3">
        <v>0</v>
      </c>
      <c r="N14" s="3">
        <v>0</v>
      </c>
      <c r="O14" s="3">
        <v>0</v>
      </c>
      <c r="P14" s="3">
        <v>0</v>
      </c>
      <c r="Q14" s="3">
        <v>0</v>
      </c>
      <c r="R14" s="3">
        <v>0</v>
      </c>
      <c r="S14" s="3">
        <v>0</v>
      </c>
      <c r="T14" s="3">
        <v>0</v>
      </c>
      <c r="U14" s="3">
        <v>0</v>
      </c>
      <c r="V14" s="3">
        <v>0</v>
      </c>
      <c r="W14" s="3">
        <v>0</v>
      </c>
      <c r="X14" s="3">
        <v>0</v>
      </c>
      <c r="Y14" s="3">
        <v>0</v>
      </c>
      <c r="Z14" s="3">
        <v>0</v>
      </c>
      <c r="AA14" s="3">
        <v>0</v>
      </c>
      <c r="AB14" s="3">
        <v>0</v>
      </c>
      <c r="AC14" s="3">
        <v>0</v>
      </c>
      <c r="AD14" s="3">
        <v>0</v>
      </c>
      <c r="AE14" s="3">
        <v>0</v>
      </c>
      <c r="AF14" s="3">
        <v>0</v>
      </c>
      <c r="AG14" s="3">
        <v>0</v>
      </c>
      <c r="AH14" s="3">
        <v>0</v>
      </c>
      <c r="AI14" s="3">
        <v>0</v>
      </c>
      <c r="AJ14" s="3">
        <v>0</v>
      </c>
      <c r="AK14" s="3">
        <v>0</v>
      </c>
      <c r="AL14" s="3">
        <v>0</v>
      </c>
      <c r="AM14" s="3">
        <v>0</v>
      </c>
      <c r="AN14" s="3">
        <v>0</v>
      </c>
      <c r="AO14" s="3">
        <v>0</v>
      </c>
      <c r="AP14" t="str">
        <f t="shared" si="0"/>
        <v>('G08', 0, 0, 0, 0, 0, 0, 0, 0, 0, 0, 0, 0, 0, 0, 0, 0, 0, 0, 0, 0, 0, 0, 0, 0, 0, 0, 0, 0, 0, 0, 0, 0, 0, 0, 0, 0, 0, 0, 0, 0),</v>
      </c>
    </row>
    <row r="15" spans="1:42" x14ac:dyDescent="0.2">
      <c r="A15" s="4" t="s">
        <v>61</v>
      </c>
      <c r="B15" s="4">
        <v>0</v>
      </c>
      <c r="C15" s="4">
        <v>0</v>
      </c>
      <c r="D15" s="4">
        <v>0</v>
      </c>
      <c r="E15" s="4">
        <v>0</v>
      </c>
      <c r="F15" s="4">
        <v>0</v>
      </c>
      <c r="G15" s="4">
        <v>0</v>
      </c>
      <c r="H15" s="4">
        <v>0</v>
      </c>
      <c r="I15" s="4">
        <v>0</v>
      </c>
      <c r="J15" s="4">
        <v>0</v>
      </c>
      <c r="K15" s="4">
        <v>0</v>
      </c>
      <c r="L15" s="4">
        <v>0</v>
      </c>
      <c r="M15" s="4">
        <v>0</v>
      </c>
      <c r="N15" s="4">
        <v>0</v>
      </c>
      <c r="O15" s="4">
        <v>0</v>
      </c>
      <c r="P15" s="4">
        <v>0</v>
      </c>
      <c r="Q15" s="4">
        <v>0</v>
      </c>
      <c r="R15" s="4">
        <v>0</v>
      </c>
      <c r="S15" s="4">
        <v>0</v>
      </c>
      <c r="T15" s="4">
        <v>0</v>
      </c>
      <c r="U15" s="4">
        <v>0</v>
      </c>
      <c r="V15" s="4">
        <v>0</v>
      </c>
      <c r="W15" s="4">
        <v>0</v>
      </c>
      <c r="X15" s="4">
        <v>0</v>
      </c>
      <c r="Y15" s="4">
        <v>0</v>
      </c>
      <c r="Z15" s="4">
        <v>0</v>
      </c>
      <c r="AA15" s="4">
        <v>0</v>
      </c>
      <c r="AB15" s="4">
        <v>0</v>
      </c>
      <c r="AC15" s="4">
        <v>0</v>
      </c>
      <c r="AD15" s="4">
        <v>0</v>
      </c>
      <c r="AE15" s="4">
        <v>0</v>
      </c>
      <c r="AF15" s="4">
        <v>0</v>
      </c>
      <c r="AG15" s="4">
        <v>0</v>
      </c>
      <c r="AH15" s="4">
        <v>0</v>
      </c>
      <c r="AI15" s="4">
        <v>0</v>
      </c>
      <c r="AJ15" s="4">
        <v>0</v>
      </c>
      <c r="AK15" s="4">
        <v>0</v>
      </c>
      <c r="AL15" s="4">
        <v>0</v>
      </c>
      <c r="AM15" s="4">
        <v>0</v>
      </c>
      <c r="AN15" s="4">
        <v>0</v>
      </c>
      <c r="AO15" s="4">
        <v>0</v>
      </c>
      <c r="AP15" t="str">
        <f t="shared" si="0"/>
        <v>('G10', 0, 0, 0, 0, 0, 0, 0, 0, 0, 0, 0, 0, 0, 0, 0, 0, 0, 0, 0, 0, 0, 0, 0, 0, 0, 0, 0, 0, 0, 0, 0, 0, 0, 0, 0, 0, 0, 0, 0, 0),</v>
      </c>
    </row>
    <row r="16" spans="1:42" x14ac:dyDescent="0.2">
      <c r="A16" s="3" t="s">
        <v>62</v>
      </c>
      <c r="B16" s="3">
        <v>0</v>
      </c>
      <c r="C16" s="3">
        <v>0</v>
      </c>
      <c r="D16" s="3">
        <v>0</v>
      </c>
      <c r="E16" s="3">
        <v>0</v>
      </c>
      <c r="F16" s="3">
        <v>0</v>
      </c>
      <c r="G16" s="3">
        <v>0</v>
      </c>
      <c r="H16" s="3">
        <v>0</v>
      </c>
      <c r="I16" s="3">
        <v>0</v>
      </c>
      <c r="J16" s="3">
        <v>0</v>
      </c>
      <c r="K16" s="3">
        <v>0</v>
      </c>
      <c r="L16" s="3">
        <v>0</v>
      </c>
      <c r="M16" s="3">
        <v>0</v>
      </c>
      <c r="N16" s="3">
        <v>0</v>
      </c>
      <c r="O16" s="3">
        <v>0</v>
      </c>
      <c r="P16" s="3">
        <v>0</v>
      </c>
      <c r="Q16" s="3">
        <v>0</v>
      </c>
      <c r="R16" s="3">
        <v>0</v>
      </c>
      <c r="S16" s="3">
        <v>0</v>
      </c>
      <c r="T16" s="3">
        <v>0</v>
      </c>
      <c r="U16" s="3">
        <v>0</v>
      </c>
      <c r="V16" s="3">
        <v>0</v>
      </c>
      <c r="W16" s="3">
        <v>0</v>
      </c>
      <c r="X16" s="3">
        <v>0</v>
      </c>
      <c r="Y16" s="3">
        <v>0</v>
      </c>
      <c r="Z16" s="3">
        <v>0</v>
      </c>
      <c r="AA16" s="3">
        <v>0</v>
      </c>
      <c r="AB16" s="3">
        <v>0</v>
      </c>
      <c r="AC16" s="3">
        <v>0</v>
      </c>
      <c r="AD16" s="3">
        <v>0</v>
      </c>
      <c r="AE16" s="3">
        <v>0</v>
      </c>
      <c r="AF16" s="3">
        <v>0</v>
      </c>
      <c r="AG16" s="3">
        <v>0</v>
      </c>
      <c r="AH16" s="3">
        <v>0</v>
      </c>
      <c r="AI16" s="3">
        <v>0</v>
      </c>
      <c r="AJ16" s="3">
        <v>0</v>
      </c>
      <c r="AK16" s="3">
        <v>0</v>
      </c>
      <c r="AL16" s="3">
        <v>0</v>
      </c>
      <c r="AM16" s="3">
        <v>0</v>
      </c>
      <c r="AN16" s="3">
        <v>0</v>
      </c>
      <c r="AO16" s="3">
        <v>0</v>
      </c>
      <c r="AP16" t="str">
        <f t="shared" si="0"/>
        <v>('CR4', 0, 0, 0, 0, 0, 0, 0, 0, 0, 0, 0, 0, 0, 0, 0, 0, 0, 0, 0, 0, 0, 0, 0, 0, 0, 0, 0, 0, 0, 0, 0, 0, 0, 0, 0, 0, 0, 0, 0, 0),</v>
      </c>
    </row>
    <row r="17" spans="1:42" x14ac:dyDescent="0.2">
      <c r="A17" s="4" t="s">
        <v>63</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
        <v>0</v>
      </c>
      <c r="AG17" s="4">
        <v>0</v>
      </c>
      <c r="AH17" s="4">
        <v>0</v>
      </c>
      <c r="AI17" s="4">
        <v>0</v>
      </c>
      <c r="AJ17" s="4">
        <v>0</v>
      </c>
      <c r="AK17" s="4">
        <v>0</v>
      </c>
      <c r="AL17" s="4">
        <v>0</v>
      </c>
      <c r="AM17" s="4">
        <v>0</v>
      </c>
      <c r="AN17" s="4">
        <v>0</v>
      </c>
      <c r="AO17" s="4">
        <v>0</v>
      </c>
      <c r="AP17" t="str">
        <f t="shared" si="0"/>
        <v>('A30', 0, 0, 0, 0, 0, 0, 0, 0, 0, 0, 0, 0, 0, 0, 0, 0, 0, 0, 0, 0, 0, 0, 0, 0, 0, 0, 0, 0, 0, 0, 0, 0, 0, 0, 0, 0, 0, 0, 0, 0),</v>
      </c>
    </row>
    <row r="18" spans="1:42" x14ac:dyDescent="0.2">
      <c r="A18" s="3" t="s">
        <v>64</v>
      </c>
      <c r="B18" s="3">
        <v>0</v>
      </c>
      <c r="C18" s="3">
        <v>0</v>
      </c>
      <c r="D18" s="3">
        <v>0</v>
      </c>
      <c r="E18" s="3">
        <v>0</v>
      </c>
      <c r="F18" s="3">
        <v>0</v>
      </c>
      <c r="G18" s="3">
        <v>0</v>
      </c>
      <c r="H18" s="3">
        <v>0</v>
      </c>
      <c r="I18" s="3">
        <v>0</v>
      </c>
      <c r="J18" s="3">
        <v>0</v>
      </c>
      <c r="K18" s="3">
        <v>0</v>
      </c>
      <c r="L18" s="3">
        <v>0</v>
      </c>
      <c r="M18" s="3">
        <v>0</v>
      </c>
      <c r="N18" s="3">
        <v>0</v>
      </c>
      <c r="O18" s="3">
        <v>0</v>
      </c>
      <c r="P18" s="3">
        <v>0</v>
      </c>
      <c r="Q18" s="3">
        <v>0</v>
      </c>
      <c r="R18" s="3">
        <v>0</v>
      </c>
      <c r="S18" s="3">
        <v>0</v>
      </c>
      <c r="T18" s="3">
        <v>0</v>
      </c>
      <c r="U18" s="3">
        <v>0</v>
      </c>
      <c r="V18" s="3">
        <v>0</v>
      </c>
      <c r="W18" s="3">
        <v>0</v>
      </c>
      <c r="X18" s="3">
        <v>0</v>
      </c>
      <c r="Y18" s="3">
        <v>0</v>
      </c>
      <c r="Z18" s="3">
        <v>0</v>
      </c>
      <c r="AA18" s="3">
        <v>0</v>
      </c>
      <c r="AB18" s="3">
        <v>0</v>
      </c>
      <c r="AC18" s="3">
        <v>0</v>
      </c>
      <c r="AD18" s="3">
        <v>0</v>
      </c>
      <c r="AE18" s="3">
        <v>0</v>
      </c>
      <c r="AF18" s="3">
        <v>0</v>
      </c>
      <c r="AG18" s="3">
        <v>0</v>
      </c>
      <c r="AH18" s="3">
        <v>0</v>
      </c>
      <c r="AI18" s="3">
        <v>0</v>
      </c>
      <c r="AJ18" s="3">
        <v>0</v>
      </c>
      <c r="AK18" s="3">
        <v>0</v>
      </c>
      <c r="AL18" s="3">
        <v>0</v>
      </c>
      <c r="AM18" s="3">
        <v>0</v>
      </c>
      <c r="AN18" s="3">
        <v>0</v>
      </c>
      <c r="AO18" s="3">
        <v>0</v>
      </c>
      <c r="AP18" t="str">
        <f t="shared" si="0"/>
        <v>('C08', 0, 0, 0, 0, 0, 0, 0, 0, 0, 0, 0, 0, 0, 0, 0, 0, 0, 0, 0, 0, 0, 0, 0, 0, 0, 0, 0, 0, 0, 0, 0, 0, 0, 0, 0, 0, 0, 0, 0, 0),</v>
      </c>
    </row>
    <row r="19" spans="1:42" x14ac:dyDescent="0.2">
      <c r="A19" s="4" t="s">
        <v>65</v>
      </c>
      <c r="B19" s="4">
        <v>0</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c r="Z19" s="4">
        <v>0</v>
      </c>
      <c r="AA19" s="4">
        <v>0</v>
      </c>
      <c r="AB19" s="4">
        <v>0</v>
      </c>
      <c r="AC19" s="4">
        <v>0</v>
      </c>
      <c r="AD19" s="4">
        <v>0</v>
      </c>
      <c r="AE19" s="4">
        <v>0</v>
      </c>
      <c r="AF19" s="4">
        <v>0</v>
      </c>
      <c r="AG19" s="4">
        <v>0</v>
      </c>
      <c r="AH19" s="4">
        <v>0</v>
      </c>
      <c r="AI19" s="4">
        <v>0</v>
      </c>
      <c r="AJ19" s="4">
        <v>0</v>
      </c>
      <c r="AK19" s="4">
        <v>0</v>
      </c>
      <c r="AL19" s="4">
        <v>0</v>
      </c>
      <c r="AM19" s="4">
        <v>0</v>
      </c>
      <c r="AN19" s="4">
        <v>0</v>
      </c>
      <c r="AO19" s="4">
        <v>0</v>
      </c>
      <c r="AP19" t="str">
        <f t="shared" si="0"/>
        <v>('G16', 0, 0, 0, 0, 0, 0, 0, 0, 0, 0, 0, 0, 0, 0, 0, 0, 0, 0, 0, 0, 0, 0, 0, 0, 0, 0, 0, 0, 0, 0, 0, 0, 0, 0, 0, 0, 0, 0, 0, 0),</v>
      </c>
    </row>
    <row r="20" spans="1:42" x14ac:dyDescent="0.2">
      <c r="A20" s="3" t="s">
        <v>66</v>
      </c>
      <c r="B20" s="3">
        <v>0</v>
      </c>
      <c r="C20" s="3">
        <v>0</v>
      </c>
      <c r="D20" s="3">
        <v>0</v>
      </c>
      <c r="E20" s="3">
        <v>0</v>
      </c>
      <c r="F20" s="3">
        <v>0</v>
      </c>
      <c r="G20" s="3">
        <v>0</v>
      </c>
      <c r="H20" s="3">
        <v>0</v>
      </c>
      <c r="I20" s="3">
        <v>0</v>
      </c>
      <c r="J20" s="3">
        <v>0</v>
      </c>
      <c r="K20" s="3">
        <v>0</v>
      </c>
      <c r="L20" s="3">
        <v>0</v>
      </c>
      <c r="M20" s="3">
        <v>0</v>
      </c>
      <c r="N20" s="3">
        <v>0</v>
      </c>
      <c r="O20" s="3">
        <v>0</v>
      </c>
      <c r="P20" s="3">
        <v>0</v>
      </c>
      <c r="Q20" s="3">
        <v>0</v>
      </c>
      <c r="R20" s="3">
        <v>0</v>
      </c>
      <c r="S20" s="3">
        <v>0</v>
      </c>
      <c r="T20" s="3">
        <v>0</v>
      </c>
      <c r="U20" s="3">
        <v>0</v>
      </c>
      <c r="V20" s="3">
        <v>0</v>
      </c>
      <c r="W20" s="3">
        <v>0</v>
      </c>
      <c r="X20" s="3">
        <v>0</v>
      </c>
      <c r="Y20" s="3">
        <v>0</v>
      </c>
      <c r="Z20" s="3">
        <v>0</v>
      </c>
      <c r="AA20" s="3">
        <v>0</v>
      </c>
      <c r="AB20" s="3">
        <v>0</v>
      </c>
      <c r="AC20" s="3">
        <v>0</v>
      </c>
      <c r="AD20" s="3">
        <v>0</v>
      </c>
      <c r="AE20" s="3">
        <v>0</v>
      </c>
      <c r="AF20" s="3">
        <v>0</v>
      </c>
      <c r="AG20" s="3">
        <v>0</v>
      </c>
      <c r="AH20" s="3">
        <v>0</v>
      </c>
      <c r="AI20" s="3">
        <v>0</v>
      </c>
      <c r="AJ20" s="3">
        <v>0</v>
      </c>
      <c r="AK20" s="3">
        <v>0</v>
      </c>
      <c r="AL20" s="3">
        <v>0</v>
      </c>
      <c r="AM20" s="3">
        <v>0</v>
      </c>
      <c r="AN20" s="3">
        <v>0</v>
      </c>
      <c r="AO20" s="3">
        <v>0</v>
      </c>
      <c r="AP20" t="str">
        <f t="shared" si="0"/>
        <v>('T02', 0, 0, 0, 0, 0, 0, 0, 0, 0, 0, 0, 0, 0, 0, 0, 0, 0, 0, 0, 0, 0, 0, 0, 0, 0, 0, 0, 0, 0, 0, 0, 0, 0, 0, 0, 0, 0, 0, 0, 0),</v>
      </c>
    </row>
    <row r="21" spans="1:42" x14ac:dyDescent="0.2">
      <c r="A21" s="4" t="s">
        <v>67</v>
      </c>
      <c r="B21" s="4">
        <v>0</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0</v>
      </c>
      <c r="AE21" s="4">
        <v>0</v>
      </c>
      <c r="AF21" s="4">
        <v>0</v>
      </c>
      <c r="AG21" s="4">
        <v>0</v>
      </c>
      <c r="AH21" s="4">
        <v>0</v>
      </c>
      <c r="AI21" s="4">
        <v>0</v>
      </c>
      <c r="AJ21" s="4">
        <v>0</v>
      </c>
      <c r="AK21" s="4">
        <v>0</v>
      </c>
      <c r="AL21" s="4">
        <v>0</v>
      </c>
      <c r="AM21" s="4">
        <v>0</v>
      </c>
      <c r="AN21" s="4">
        <v>0</v>
      </c>
      <c r="AO21" s="4">
        <v>0</v>
      </c>
      <c r="AP21" t="str">
        <f t="shared" si="0"/>
        <v>('T12', 0, 0, 0, 0, 0, 0, 0, 0, 0, 0, 0, 0, 0, 0, 0, 0, 0, 0, 0, 0, 0, 0, 0, 0, 0, 0, 0, 0, 0, 0, 0, 0, 0, 0, 0, 0, 0, 0, 0, 0),</v>
      </c>
    </row>
    <row r="22" spans="1:42" x14ac:dyDescent="0.2">
      <c r="A22" s="3" t="s">
        <v>68</v>
      </c>
      <c r="B22" s="3">
        <v>0</v>
      </c>
      <c r="C22" s="3">
        <v>0</v>
      </c>
      <c r="D22" s="3">
        <v>0</v>
      </c>
      <c r="E22" s="3">
        <v>0</v>
      </c>
      <c r="F22" s="3">
        <v>0</v>
      </c>
      <c r="G22" s="3">
        <v>0</v>
      </c>
      <c r="H22" s="3">
        <v>0</v>
      </c>
      <c r="I22" s="3">
        <v>0</v>
      </c>
      <c r="J22" s="3">
        <v>0</v>
      </c>
      <c r="K22" s="3">
        <v>0</v>
      </c>
      <c r="L22" s="3">
        <v>0</v>
      </c>
      <c r="M22" s="3">
        <v>0</v>
      </c>
      <c r="N22" s="3">
        <v>0</v>
      </c>
      <c r="O22" s="3">
        <v>0</v>
      </c>
      <c r="P22" s="3">
        <v>0</v>
      </c>
      <c r="Q22" s="3">
        <v>0</v>
      </c>
      <c r="R22" s="3">
        <v>0</v>
      </c>
      <c r="S22" s="3">
        <v>0</v>
      </c>
      <c r="T22" s="3">
        <v>0</v>
      </c>
      <c r="U22" s="3">
        <v>0</v>
      </c>
      <c r="V22" s="3">
        <v>0</v>
      </c>
      <c r="W22" s="3">
        <v>0</v>
      </c>
      <c r="X22" s="3">
        <v>0</v>
      </c>
      <c r="Y22" s="3">
        <v>0</v>
      </c>
      <c r="Z22" s="3">
        <v>0</v>
      </c>
      <c r="AA22" s="3">
        <v>0</v>
      </c>
      <c r="AB22" s="3">
        <v>0</v>
      </c>
      <c r="AC22" s="3">
        <v>0</v>
      </c>
      <c r="AD22" s="3">
        <v>0</v>
      </c>
      <c r="AE22" s="3">
        <v>0</v>
      </c>
      <c r="AF22" s="3">
        <v>0</v>
      </c>
      <c r="AG22" s="3">
        <v>0</v>
      </c>
      <c r="AH22" s="3">
        <v>0</v>
      </c>
      <c r="AI22" s="3">
        <v>0</v>
      </c>
      <c r="AJ22" s="3">
        <v>0</v>
      </c>
      <c r="AK22" s="3">
        <v>0</v>
      </c>
      <c r="AL22" s="3">
        <v>0</v>
      </c>
      <c r="AM22" s="3">
        <v>0</v>
      </c>
      <c r="AN22" s="3">
        <v>0</v>
      </c>
      <c r="AO22" s="3">
        <v>0</v>
      </c>
      <c r="AP22" t="str">
        <f t="shared" si="0"/>
        <v>('C04', 0, 0, 0, 0, 0, 0, 0, 0, 0, 0, 0, 0, 0, 0, 0, 0, 0, 0, 0, 0, 0, 0, 0, 0, 0, 0, 0, 0, 0, 0, 0, 0, 0, 0, 0, 0, 0, 0, 0, 0),</v>
      </c>
    </row>
    <row r="23" spans="1:42" x14ac:dyDescent="0.2">
      <c r="A23" s="4" t="s">
        <v>69</v>
      </c>
      <c r="B23" s="4">
        <v>0</v>
      </c>
      <c r="C23" s="4">
        <v>0</v>
      </c>
      <c r="D23" s="4">
        <v>0</v>
      </c>
      <c r="E23" s="4">
        <v>0</v>
      </c>
      <c r="F23" s="4">
        <v>0</v>
      </c>
      <c r="G23" s="4">
        <v>0</v>
      </c>
      <c r="H23" s="4">
        <v>0</v>
      </c>
      <c r="I23" s="4">
        <v>0</v>
      </c>
      <c r="J23" s="4">
        <v>0</v>
      </c>
      <c r="K23" s="4">
        <v>0</v>
      </c>
      <c r="L23" s="4">
        <v>0</v>
      </c>
      <c r="M23" s="4">
        <v>0</v>
      </c>
      <c r="N23" s="4">
        <v>0</v>
      </c>
      <c r="O23" s="4">
        <v>0</v>
      </c>
      <c r="P23" s="4">
        <v>0</v>
      </c>
      <c r="Q23" s="4">
        <v>0</v>
      </c>
      <c r="R23" s="4">
        <v>0</v>
      </c>
      <c r="S23" s="4">
        <v>0</v>
      </c>
      <c r="T23" s="4">
        <v>0</v>
      </c>
      <c r="U23" s="4">
        <v>0</v>
      </c>
      <c r="V23" s="4">
        <v>0</v>
      </c>
      <c r="W23" s="4">
        <v>0</v>
      </c>
      <c r="X23" s="4">
        <v>0</v>
      </c>
      <c r="Y23" s="4">
        <v>0</v>
      </c>
      <c r="Z23" s="4">
        <v>0</v>
      </c>
      <c r="AA23" s="4">
        <v>0</v>
      </c>
      <c r="AB23" s="4">
        <v>0</v>
      </c>
      <c r="AC23" s="4">
        <v>0</v>
      </c>
      <c r="AD23" s="4">
        <v>0</v>
      </c>
      <c r="AE23" s="4">
        <v>0</v>
      </c>
      <c r="AF23" s="4">
        <v>0</v>
      </c>
      <c r="AG23" s="4">
        <v>0</v>
      </c>
      <c r="AH23" s="4">
        <v>0</v>
      </c>
      <c r="AI23" s="4">
        <v>0</v>
      </c>
      <c r="AJ23" s="4">
        <v>0</v>
      </c>
      <c r="AK23" s="4">
        <v>0</v>
      </c>
      <c r="AL23" s="4">
        <v>0</v>
      </c>
      <c r="AM23" s="4">
        <v>0</v>
      </c>
      <c r="AN23" s="4">
        <v>0</v>
      </c>
      <c r="AO23" s="4">
        <v>0</v>
      </c>
      <c r="AP23" t="str">
        <f t="shared" si="0"/>
        <v>('Q01', 0, 0, 0, 0, 0, 0, 0, 0, 0, 0, 0, 0, 0, 0, 0, 0, 0, 0, 0, 0, 0, 0, 0, 0, 0, 0, 0, 0, 0, 0, 0, 0, 0, 0, 0, 0, 0, 0, 0, 0),</v>
      </c>
    </row>
    <row r="24" spans="1:42" x14ac:dyDescent="0.2">
      <c r="A24" s="3" t="s">
        <v>70</v>
      </c>
      <c r="B24" s="3">
        <v>0</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c r="AD24" s="3">
        <v>0</v>
      </c>
      <c r="AE24" s="3">
        <v>0</v>
      </c>
      <c r="AF24" s="3">
        <v>0</v>
      </c>
      <c r="AG24" s="3">
        <v>0</v>
      </c>
      <c r="AH24" s="3">
        <v>0</v>
      </c>
      <c r="AI24" s="3">
        <v>0</v>
      </c>
      <c r="AJ24" s="3">
        <v>0</v>
      </c>
      <c r="AK24" s="3">
        <v>0</v>
      </c>
      <c r="AL24" s="3">
        <v>0</v>
      </c>
      <c r="AM24" s="3">
        <v>0</v>
      </c>
      <c r="AN24" s="3">
        <v>0</v>
      </c>
      <c r="AO24" s="3">
        <v>0</v>
      </c>
      <c r="AP24" t="str">
        <f t="shared" si="0"/>
        <v>('MS05', 0, 0, 0, 0, 0, 0, 0, 0, 0, 0, 0, 0, 0, 0, 0, 0, 0, 0, 0, 0, 0, 0, 0, 0, 0, 0, 0, 0, 0, 0, 0, 0, 0, 0, 0, 0, 0, 0, 0, 0),</v>
      </c>
    </row>
    <row r="25" spans="1:42" x14ac:dyDescent="0.2">
      <c r="A25" s="4" t="s">
        <v>71</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4">
        <v>0</v>
      </c>
      <c r="Y25" s="4">
        <v>0</v>
      </c>
      <c r="Z25" s="4">
        <v>0</v>
      </c>
      <c r="AA25" s="4">
        <v>0</v>
      </c>
      <c r="AB25" s="4">
        <v>0</v>
      </c>
      <c r="AC25" s="4">
        <v>0</v>
      </c>
      <c r="AD25" s="4">
        <v>0</v>
      </c>
      <c r="AE25" s="4">
        <v>0</v>
      </c>
      <c r="AF25" s="4">
        <v>0</v>
      </c>
      <c r="AG25" s="4">
        <v>0</v>
      </c>
      <c r="AH25" s="4">
        <v>0</v>
      </c>
      <c r="AI25" s="4">
        <v>0</v>
      </c>
      <c r="AJ25" s="4">
        <v>0</v>
      </c>
      <c r="AK25" s="4">
        <v>0</v>
      </c>
      <c r="AL25" s="4">
        <v>0</v>
      </c>
      <c r="AM25" s="4">
        <v>0</v>
      </c>
      <c r="AN25" s="4">
        <v>0</v>
      </c>
      <c r="AO25" s="4">
        <v>0</v>
      </c>
      <c r="AP25" t="str">
        <f t="shared" si="0"/>
        <v>('Q02', 0, 0, 0, 0, 0, 0, 0, 0, 0, 0, 0, 0, 0, 0, 0, 0, 0, 0, 0, 0, 0, 0, 0, 0, 0, 0, 0, 0, 0, 0, 0, 0, 0, 0, 0, 0, 0, 0, 0, 0),</v>
      </c>
    </row>
    <row r="26" spans="1:42" x14ac:dyDescent="0.2">
      <c r="A26" s="3" t="s">
        <v>72</v>
      </c>
      <c r="B26" s="3">
        <v>0</v>
      </c>
      <c r="C26" s="3">
        <v>0</v>
      </c>
      <c r="D26" s="3">
        <v>0</v>
      </c>
      <c r="E26" s="3">
        <v>0</v>
      </c>
      <c r="F26" s="3">
        <v>0</v>
      </c>
      <c r="G26" s="3">
        <v>0</v>
      </c>
      <c r="H26" s="3">
        <v>0</v>
      </c>
      <c r="I26" s="3">
        <v>0</v>
      </c>
      <c r="J26" s="3">
        <v>0</v>
      </c>
      <c r="K26" s="3">
        <v>0</v>
      </c>
      <c r="L26" s="3">
        <v>0</v>
      </c>
      <c r="M26" s="3">
        <v>0</v>
      </c>
      <c r="N26" s="3">
        <v>0</v>
      </c>
      <c r="O26" s="3">
        <v>0</v>
      </c>
      <c r="P26" s="3">
        <v>0</v>
      </c>
      <c r="Q26" s="3">
        <v>0</v>
      </c>
      <c r="R26" s="3">
        <v>0</v>
      </c>
      <c r="S26" s="3">
        <v>0</v>
      </c>
      <c r="T26" s="3">
        <v>0</v>
      </c>
      <c r="U26" s="3">
        <v>0</v>
      </c>
      <c r="V26" s="3">
        <v>0</v>
      </c>
      <c r="W26" s="3">
        <v>0</v>
      </c>
      <c r="X26" s="3">
        <v>0</v>
      </c>
      <c r="Y26" s="3">
        <v>0</v>
      </c>
      <c r="Z26" s="3">
        <v>0</v>
      </c>
      <c r="AA26" s="3">
        <v>0</v>
      </c>
      <c r="AB26" s="3">
        <v>0</v>
      </c>
      <c r="AC26" s="3">
        <v>0</v>
      </c>
      <c r="AD26" s="3">
        <v>0</v>
      </c>
      <c r="AE26" s="3">
        <v>0</v>
      </c>
      <c r="AF26" s="3">
        <v>0</v>
      </c>
      <c r="AG26" s="3">
        <v>0</v>
      </c>
      <c r="AH26" s="3">
        <v>0</v>
      </c>
      <c r="AI26" s="3">
        <v>0</v>
      </c>
      <c r="AJ26" s="3">
        <v>0</v>
      </c>
      <c r="AK26" s="3">
        <v>0</v>
      </c>
      <c r="AL26" s="3">
        <v>0</v>
      </c>
      <c r="AM26" s="3">
        <v>0</v>
      </c>
      <c r="AN26" s="3">
        <v>0</v>
      </c>
      <c r="AO26" s="3">
        <v>0</v>
      </c>
      <c r="AP26" t="str">
        <f t="shared" si="0"/>
        <v>('G35', 0, 0, 0, 0, 0, 0, 0, 0, 0, 0, 0, 0, 0, 0, 0, 0, 0, 0, 0, 0, 0, 0, 0, 0, 0, 0, 0, 0, 0, 0, 0, 0, 0, 0, 0, 0, 0, 0, 0, 0),</v>
      </c>
    </row>
    <row r="27" spans="1:42" x14ac:dyDescent="0.2">
      <c r="A27" s="4" t="s">
        <v>73</v>
      </c>
      <c r="B27" s="4">
        <v>0</v>
      </c>
      <c r="C27" s="4">
        <v>0</v>
      </c>
      <c r="D27" s="4">
        <v>0</v>
      </c>
      <c r="E27" s="4">
        <v>0</v>
      </c>
      <c r="F27" s="4">
        <v>0</v>
      </c>
      <c r="G27" s="4">
        <v>0</v>
      </c>
      <c r="H27" s="4">
        <v>0</v>
      </c>
      <c r="I27" s="4">
        <v>0</v>
      </c>
      <c r="J27" s="4">
        <v>0</v>
      </c>
      <c r="K27" s="4">
        <v>0</v>
      </c>
      <c r="L27" s="4">
        <v>0</v>
      </c>
      <c r="M27" s="4">
        <v>0</v>
      </c>
      <c r="N27" s="4">
        <v>0</v>
      </c>
      <c r="O27" s="4">
        <v>0</v>
      </c>
      <c r="P27" s="4">
        <v>0</v>
      </c>
      <c r="Q27" s="4">
        <v>0</v>
      </c>
      <c r="R27" s="4">
        <v>0</v>
      </c>
      <c r="S27" s="4">
        <v>0</v>
      </c>
      <c r="T27" s="4">
        <v>0</v>
      </c>
      <c r="U27" s="4">
        <v>0</v>
      </c>
      <c r="V27" s="4">
        <v>0</v>
      </c>
      <c r="W27" s="4">
        <v>0</v>
      </c>
      <c r="X27" s="4">
        <v>0</v>
      </c>
      <c r="Y27" s="4">
        <v>0</v>
      </c>
      <c r="Z27" s="4">
        <v>0</v>
      </c>
      <c r="AA27" s="4">
        <v>0</v>
      </c>
      <c r="AB27" s="4">
        <v>0</v>
      </c>
      <c r="AC27" s="4">
        <v>0</v>
      </c>
      <c r="AD27" s="4">
        <v>0</v>
      </c>
      <c r="AE27" s="4">
        <v>0</v>
      </c>
      <c r="AF27" s="4">
        <v>0</v>
      </c>
      <c r="AG27" s="4">
        <v>0</v>
      </c>
      <c r="AH27" s="4">
        <v>0</v>
      </c>
      <c r="AI27" s="4">
        <v>0</v>
      </c>
      <c r="AJ27" s="4">
        <v>0</v>
      </c>
      <c r="AK27" s="4">
        <v>0</v>
      </c>
      <c r="AL27" s="4">
        <v>0</v>
      </c>
      <c r="AM27" s="4">
        <v>0</v>
      </c>
      <c r="AN27" s="4">
        <v>0</v>
      </c>
      <c r="AO27" s="4">
        <v>0</v>
      </c>
      <c r="AP27" t="str">
        <f t="shared" si="0"/>
        <v>('A34', 0, 0, 0, 0, 0, 0, 0, 0, 0, 0, 0, 0, 0, 0, 0, 0, 0, 0, 0, 0, 0, 0, 0, 0, 0, 0, 0, 0, 0, 0, 0, 0, 0, 0, 0, 0, 0, 0, 0, 0),</v>
      </c>
    </row>
    <row r="28" spans="1:42" x14ac:dyDescent="0.2">
      <c r="A28" s="3" t="s">
        <v>74</v>
      </c>
      <c r="B28" s="3">
        <v>0</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c r="AD28" s="3">
        <v>0</v>
      </c>
      <c r="AE28" s="3">
        <v>0</v>
      </c>
      <c r="AF28" s="3">
        <v>0</v>
      </c>
      <c r="AG28" s="3">
        <v>0</v>
      </c>
      <c r="AH28" s="3">
        <v>0</v>
      </c>
      <c r="AI28" s="3">
        <v>0</v>
      </c>
      <c r="AJ28" s="3">
        <v>0</v>
      </c>
      <c r="AK28" s="3">
        <v>0</v>
      </c>
      <c r="AL28" s="3">
        <v>0</v>
      </c>
      <c r="AM28" s="3">
        <v>0</v>
      </c>
      <c r="AN28" s="3">
        <v>0</v>
      </c>
      <c r="AO28" s="3">
        <v>0</v>
      </c>
      <c r="AP28" t="str">
        <f t="shared" si="0"/>
        <v>('A38', 0, 0, 0, 0, 0, 0, 0, 0, 0, 0, 0, 0, 0, 0, 0, 0, 0, 0, 0, 0, 0, 0, 0, 0, 0, 0, 0, 0, 0, 0, 0, 0, 0, 0, 0, 0, 0, 0, 0, 0),</v>
      </c>
    </row>
    <row r="29" spans="1:42" x14ac:dyDescent="0.2">
      <c r="A29" s="4" t="s">
        <v>75</v>
      </c>
      <c r="B29" s="4">
        <v>0</v>
      </c>
      <c r="C29" s="4">
        <v>0</v>
      </c>
      <c r="D29" s="4">
        <v>0</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c r="X29" s="4">
        <v>0</v>
      </c>
      <c r="Y29" s="4">
        <v>0</v>
      </c>
      <c r="Z29" s="4">
        <v>0</v>
      </c>
      <c r="AA29" s="4">
        <v>0</v>
      </c>
      <c r="AB29" s="4">
        <v>0</v>
      </c>
      <c r="AC29" s="4">
        <v>0</v>
      </c>
      <c r="AD29" s="4">
        <v>0</v>
      </c>
      <c r="AE29" s="4">
        <v>0</v>
      </c>
      <c r="AF29" s="4">
        <v>0</v>
      </c>
      <c r="AG29" s="4">
        <v>0</v>
      </c>
      <c r="AH29" s="4">
        <v>0</v>
      </c>
      <c r="AI29" s="4">
        <v>0</v>
      </c>
      <c r="AJ29" s="4">
        <v>0</v>
      </c>
      <c r="AK29" s="4">
        <v>0</v>
      </c>
      <c r="AL29" s="4">
        <v>0</v>
      </c>
      <c r="AM29" s="4">
        <v>0</v>
      </c>
      <c r="AN29" s="4">
        <v>0</v>
      </c>
      <c r="AO29" s="4">
        <v>0</v>
      </c>
      <c r="AP29" t="str">
        <f t="shared" si="0"/>
        <v>('C01', 0, 0, 0, 0, 0, 0, 0, 0, 0, 0, 0, 0, 0, 0, 0, 0, 0, 0, 0, 0, 0, 0, 0, 0, 0, 0, 0, 0, 0, 0, 0, 0, 0, 0, 0, 0, 0, 0, 0, 0),</v>
      </c>
    </row>
    <row r="30" spans="1:42" x14ac:dyDescent="0.2">
      <c r="A30" s="3" t="s">
        <v>76</v>
      </c>
      <c r="B30" s="3">
        <v>0</v>
      </c>
      <c r="C30" s="3">
        <v>0</v>
      </c>
      <c r="D30" s="3">
        <v>0</v>
      </c>
      <c r="E30" s="3">
        <v>0</v>
      </c>
      <c r="F30" s="3">
        <v>0</v>
      </c>
      <c r="G30" s="3">
        <v>0</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c r="AA30" s="3">
        <v>0</v>
      </c>
      <c r="AB30" s="3">
        <v>0</v>
      </c>
      <c r="AC30" s="3">
        <v>0</v>
      </c>
      <c r="AD30" s="3">
        <v>0</v>
      </c>
      <c r="AE30" s="3">
        <v>0</v>
      </c>
      <c r="AF30" s="3">
        <v>0</v>
      </c>
      <c r="AG30" s="3">
        <v>0</v>
      </c>
      <c r="AH30" s="3">
        <v>0</v>
      </c>
      <c r="AI30" s="3">
        <v>0</v>
      </c>
      <c r="AJ30" s="3">
        <v>0</v>
      </c>
      <c r="AK30" s="3">
        <v>0</v>
      </c>
      <c r="AL30" s="3">
        <v>0</v>
      </c>
      <c r="AM30" s="3">
        <v>0</v>
      </c>
      <c r="AN30" s="3">
        <v>0</v>
      </c>
      <c r="AO30" s="3">
        <v>0</v>
      </c>
      <c r="AP30" t="str">
        <f t="shared" si="0"/>
        <v>('C12', 0, 0, 0, 0, 0, 0, 0, 0, 0, 0, 0, 0, 0, 0, 0, 0, 0, 0, 0, 0, 0, 0, 0, 0, 0, 0, 0, 0, 0, 0, 0, 0, 0, 0, 0, 0, 0, 0, 0, 0),</v>
      </c>
    </row>
    <row r="31" spans="1:42" x14ac:dyDescent="0.2">
      <c r="A31" s="4" t="s">
        <v>77</v>
      </c>
      <c r="B31" s="4">
        <v>0</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0</v>
      </c>
      <c r="AD31" s="4">
        <v>0</v>
      </c>
      <c r="AE31" s="4">
        <v>0</v>
      </c>
      <c r="AF31" s="4">
        <v>0</v>
      </c>
      <c r="AG31" s="4">
        <v>0</v>
      </c>
      <c r="AH31" s="4">
        <v>0</v>
      </c>
      <c r="AI31" s="4">
        <v>0</v>
      </c>
      <c r="AJ31" s="4">
        <v>0</v>
      </c>
      <c r="AK31" s="4">
        <v>0</v>
      </c>
      <c r="AL31" s="4">
        <v>0</v>
      </c>
      <c r="AM31" s="4">
        <v>0</v>
      </c>
      <c r="AN31" s="4">
        <v>0</v>
      </c>
      <c r="AO31" s="4">
        <v>0</v>
      </c>
      <c r="AP31" t="str">
        <f t="shared" si="0"/>
        <v>('C31', 0, 0, 0, 0, 0, 0, 0, 0, 0, 0, 0, 0, 0, 0, 0, 0, 0, 0, 0, 0, 0, 0, 0, 0, 0, 0, 0, 0, 0, 0, 0, 0, 0, 0, 0, 0, 0, 0, 0, 0),</v>
      </c>
    </row>
    <row r="32" spans="1:42" x14ac:dyDescent="0.2">
      <c r="A32" s="3" t="s">
        <v>78</v>
      </c>
      <c r="B32" s="3">
        <v>0</v>
      </c>
      <c r="C32" s="3">
        <v>0</v>
      </c>
      <c r="D32" s="3">
        <v>0</v>
      </c>
      <c r="E32" s="3">
        <v>0</v>
      </c>
      <c r="F32" s="3">
        <v>0</v>
      </c>
      <c r="G32" s="3">
        <v>0</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c r="AA32" s="3">
        <v>0</v>
      </c>
      <c r="AB32" s="3">
        <v>0</v>
      </c>
      <c r="AC32" s="3">
        <v>0</v>
      </c>
      <c r="AD32" s="3">
        <v>0</v>
      </c>
      <c r="AE32" s="3">
        <v>0</v>
      </c>
      <c r="AF32" s="3">
        <v>0</v>
      </c>
      <c r="AG32" s="3">
        <v>0</v>
      </c>
      <c r="AH32" s="3">
        <v>0</v>
      </c>
      <c r="AI32" s="3">
        <v>0</v>
      </c>
      <c r="AJ32" s="3">
        <v>0</v>
      </c>
      <c r="AK32" s="3">
        <v>0</v>
      </c>
      <c r="AL32" s="3">
        <v>0</v>
      </c>
      <c r="AM32" s="3">
        <v>0</v>
      </c>
      <c r="AN32" s="3">
        <v>0</v>
      </c>
      <c r="AO32" s="3">
        <v>0</v>
      </c>
      <c r="AP32" t="str">
        <f t="shared" si="0"/>
        <v>('S35', 0, 0, 0, 0, 0, 0, 0, 0, 0, 0, 0, 0, 0, 0, 0, 0, 0, 0, 0, 0, 0, 0, 0, 0, 0, 0, 0, 0, 0, 0, 0, 0, 0, 0, 0, 0, 0, 0, 0, 0),</v>
      </c>
    </row>
    <row r="33" spans="1:42" x14ac:dyDescent="0.2">
      <c r="A33" s="4" t="s">
        <v>79</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4">
        <v>0</v>
      </c>
      <c r="AE33" s="4">
        <v>0</v>
      </c>
      <c r="AF33" s="4">
        <v>0</v>
      </c>
      <c r="AG33" s="4">
        <v>0</v>
      </c>
      <c r="AH33" s="4">
        <v>0</v>
      </c>
      <c r="AI33" s="4">
        <v>0</v>
      </c>
      <c r="AJ33" s="4">
        <v>0</v>
      </c>
      <c r="AK33" s="4">
        <v>0</v>
      </c>
      <c r="AL33" s="4">
        <v>0</v>
      </c>
      <c r="AM33" s="4">
        <v>0</v>
      </c>
      <c r="AN33" s="4">
        <v>0</v>
      </c>
      <c r="AO33" s="4">
        <v>0</v>
      </c>
      <c r="AP33" t="str">
        <f t="shared" si="0"/>
        <v>('IS6240', 0, 0, 0, 0, 0, 0, 0, 0, 0, 0, 0, 0, 0, 0, 0, 0, 0, 0, 0, 0, 0, 0, 0, 0, 0, 0, 0, 0, 0, 0, 0, 0, 0, 0, 0, 0, 0, 0, 0, 0),</v>
      </c>
    </row>
    <row r="34" spans="1:42" x14ac:dyDescent="0.2">
      <c r="A34" s="5" t="s">
        <v>80</v>
      </c>
      <c r="B34" s="3">
        <v>0</v>
      </c>
      <c r="C34" s="3">
        <v>0</v>
      </c>
      <c r="D34" s="3">
        <v>0</v>
      </c>
      <c r="E34" s="3">
        <v>0</v>
      </c>
      <c r="F34" s="3">
        <v>0</v>
      </c>
      <c r="G34" s="3">
        <v>0</v>
      </c>
      <c r="H34" s="3">
        <v>0</v>
      </c>
      <c r="I34" s="3">
        <v>0</v>
      </c>
      <c r="J34" s="3">
        <v>0</v>
      </c>
      <c r="K34" s="3">
        <v>0</v>
      </c>
      <c r="L34" s="3">
        <v>0</v>
      </c>
      <c r="M34" s="3">
        <v>0</v>
      </c>
      <c r="N34" s="3">
        <v>0</v>
      </c>
      <c r="O34" s="3">
        <v>0</v>
      </c>
      <c r="P34" s="3">
        <v>0</v>
      </c>
      <c r="Q34" s="3">
        <v>0</v>
      </c>
      <c r="R34" s="3">
        <v>0</v>
      </c>
      <c r="S34" s="3">
        <v>0</v>
      </c>
      <c r="T34" s="3">
        <v>0</v>
      </c>
      <c r="U34" s="3">
        <v>0</v>
      </c>
      <c r="V34" s="3">
        <v>0</v>
      </c>
      <c r="W34" s="3">
        <v>0</v>
      </c>
      <c r="X34" s="3">
        <v>0</v>
      </c>
      <c r="Y34" s="3">
        <v>0</v>
      </c>
      <c r="Z34" s="3">
        <v>0</v>
      </c>
      <c r="AA34" s="3">
        <v>0</v>
      </c>
      <c r="AB34" s="3">
        <v>0</v>
      </c>
      <c r="AC34" s="3">
        <v>0</v>
      </c>
      <c r="AD34" s="3">
        <v>0</v>
      </c>
      <c r="AE34" s="3">
        <v>0</v>
      </c>
      <c r="AF34" s="3">
        <v>0</v>
      </c>
      <c r="AG34" s="3">
        <v>0</v>
      </c>
      <c r="AH34" s="3">
        <v>0</v>
      </c>
      <c r="AI34" s="3">
        <v>0</v>
      </c>
      <c r="AJ34" s="3">
        <v>0</v>
      </c>
      <c r="AK34" s="3">
        <v>0</v>
      </c>
      <c r="AL34" s="3">
        <v>0</v>
      </c>
      <c r="AM34" s="3">
        <v>0</v>
      </c>
      <c r="AN34" s="3">
        <v>0</v>
      </c>
      <c r="AO34" s="3">
        <v>0</v>
      </c>
      <c r="AP34" t="str">
        <f t="shared" si="0"/>
        <v>('2062E350', 0, 0, 0, 0, 0, 0, 0, 0, 0, 0, 0, 0, 0, 0, 0, 0, 0, 0, 0, 0, 0, 0, 0, 0, 0, 0, 0, 0, 0, 0, 0, 0, 0, 0, 0, 0, 0, 0, 0, 0),</v>
      </c>
    </row>
    <row r="35" spans="1:42" x14ac:dyDescent="0.2">
      <c r="A35" s="4" t="s">
        <v>81</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4">
        <v>0</v>
      </c>
      <c r="AG35" s="4">
        <v>0</v>
      </c>
      <c r="AH35" s="4">
        <v>0</v>
      </c>
      <c r="AI35" s="4">
        <v>0</v>
      </c>
      <c r="AJ35" s="4">
        <v>0</v>
      </c>
      <c r="AK35" s="4">
        <v>0</v>
      </c>
      <c r="AL35" s="4">
        <v>0</v>
      </c>
      <c r="AM35" s="4">
        <v>0</v>
      </c>
      <c r="AN35" s="4">
        <v>0</v>
      </c>
      <c r="AO35" s="4">
        <v>0</v>
      </c>
      <c r="AP35" t="str">
        <f t="shared" si="0"/>
        <v>('C42', 0, 0, 0, 0, 0, 0, 0, 0, 0, 0, 0, 0, 0, 0, 0, 0, 0, 0, 0, 0, 0, 0, 0, 0, 0, 0, 0, 0, 0, 0, 0, 0, 0, 0, 0, 0, 0, 0, 0, 0),</v>
      </c>
    </row>
    <row r="36" spans="1:42" x14ac:dyDescent="0.2">
      <c r="A36" s="3" t="s">
        <v>82</v>
      </c>
      <c r="B36" s="3">
        <v>0</v>
      </c>
      <c r="C36" s="3">
        <v>0</v>
      </c>
      <c r="D36" s="3">
        <v>0</v>
      </c>
      <c r="E36" s="3">
        <v>0</v>
      </c>
      <c r="F36" s="3">
        <v>0</v>
      </c>
      <c r="G36" s="3">
        <v>0</v>
      </c>
      <c r="H36" s="3">
        <v>0</v>
      </c>
      <c r="I36" s="3">
        <v>0</v>
      </c>
      <c r="J36" s="3">
        <v>0</v>
      </c>
      <c r="K36" s="3">
        <v>0</v>
      </c>
      <c r="L36" s="3">
        <v>0</v>
      </c>
      <c r="M36" s="3">
        <v>0</v>
      </c>
      <c r="N36" s="3">
        <v>0</v>
      </c>
      <c r="O36" s="3">
        <v>0</v>
      </c>
      <c r="P36" s="3">
        <v>0</v>
      </c>
      <c r="Q36" s="3">
        <v>0</v>
      </c>
      <c r="R36" s="3">
        <v>0</v>
      </c>
      <c r="S36" s="3">
        <v>0</v>
      </c>
      <c r="T36" s="3">
        <v>0</v>
      </c>
      <c r="U36" s="3">
        <v>0</v>
      </c>
      <c r="V36" s="3">
        <v>0</v>
      </c>
      <c r="W36" s="3">
        <v>0</v>
      </c>
      <c r="X36" s="3">
        <v>0</v>
      </c>
      <c r="Y36" s="3">
        <v>0</v>
      </c>
      <c r="Z36" s="3">
        <v>0</v>
      </c>
      <c r="AA36" s="3">
        <v>0</v>
      </c>
      <c r="AB36" s="3">
        <v>0</v>
      </c>
      <c r="AC36" s="3">
        <v>0</v>
      </c>
      <c r="AD36" s="3">
        <v>0</v>
      </c>
      <c r="AE36" s="3">
        <v>0</v>
      </c>
      <c r="AF36" s="3">
        <v>0</v>
      </c>
      <c r="AG36" s="3">
        <v>0</v>
      </c>
      <c r="AH36" s="3">
        <v>0</v>
      </c>
      <c r="AI36" s="3">
        <v>0</v>
      </c>
      <c r="AJ36" s="3">
        <v>0</v>
      </c>
      <c r="AK36" s="3">
        <v>0</v>
      </c>
      <c r="AL36" s="3">
        <v>0</v>
      </c>
      <c r="AM36" s="3">
        <v>0</v>
      </c>
      <c r="AN36" s="3">
        <v>0</v>
      </c>
      <c r="AO36" s="3">
        <v>0</v>
      </c>
      <c r="AP36" t="str">
        <f t="shared" si="0"/>
        <v>('C13', 0, 0, 0, 0, 0, 0, 0, 0, 0, 0, 0, 0, 0, 0, 0, 0, 0, 0, 0, 0, 0, 0, 0, 0, 0, 0, 0, 0, 0, 0, 0, 0, 0, 0, 0, 0, 0, 0, 0, 0),</v>
      </c>
    </row>
    <row r="37" spans="1:42" x14ac:dyDescent="0.2">
      <c r="A37" s="4" t="s">
        <v>83</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4">
        <v>0</v>
      </c>
      <c r="AG37" s="4">
        <v>0</v>
      </c>
      <c r="AH37" s="4">
        <v>0</v>
      </c>
      <c r="AI37" s="4">
        <v>0</v>
      </c>
      <c r="AJ37" s="4">
        <v>0</v>
      </c>
      <c r="AK37" s="4">
        <v>0</v>
      </c>
      <c r="AL37" s="4">
        <v>0</v>
      </c>
      <c r="AM37" s="4">
        <v>0</v>
      </c>
      <c r="AN37" s="4">
        <v>0</v>
      </c>
      <c r="AO37" s="4">
        <v>0</v>
      </c>
      <c r="AP37" t="str">
        <f t="shared" si="0"/>
        <v>('G11', 0, 0, 0, 0, 0, 0, 0, 0, 0, 0, 0, 0, 0, 0, 0, 0, 0, 0, 0, 0, 0, 0, 0, 0, 0, 0, 0, 0, 0, 0, 0, 0, 0, 0, 0, 0, 0, 0, 0, 0),</v>
      </c>
    </row>
    <row r="38" spans="1:42" x14ac:dyDescent="0.2">
      <c r="A38" s="3" t="s">
        <v>84</v>
      </c>
      <c r="B38" s="3">
        <v>0</v>
      </c>
      <c r="C38" s="3">
        <v>0</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c r="AF38" s="3">
        <v>0</v>
      </c>
      <c r="AG38" s="3">
        <v>0</v>
      </c>
      <c r="AH38" s="3">
        <v>0</v>
      </c>
      <c r="AI38" s="3">
        <v>0</v>
      </c>
      <c r="AJ38" s="3">
        <v>0</v>
      </c>
      <c r="AK38" s="3">
        <v>0</v>
      </c>
      <c r="AL38" s="3">
        <v>0</v>
      </c>
      <c r="AM38" s="3">
        <v>0</v>
      </c>
      <c r="AN38" s="3">
        <v>0</v>
      </c>
      <c r="AO38" s="3">
        <v>0</v>
      </c>
      <c r="AP38" t="str">
        <f t="shared" si="0"/>
        <v>('10748GR1', 0, 0, 0, 0, 0, 0, 0, 0, 0, 0, 0, 0, 0, 0, 0, 0, 0, 0, 0, 0, 0, 0, 0, 0, 0, 0, 0, 0, 0, 0, 0, 0, 0, 0, 0, 0, 0, 0, 0, 0),</v>
      </c>
    </row>
    <row r="39" spans="1:42" x14ac:dyDescent="0.2">
      <c r="A39" s="4" t="s">
        <v>85</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4">
        <v>0</v>
      </c>
      <c r="AG39" s="4">
        <v>0</v>
      </c>
      <c r="AH39" s="4">
        <v>0</v>
      </c>
      <c r="AI39" s="4">
        <v>0</v>
      </c>
      <c r="AJ39" s="4">
        <v>0</v>
      </c>
      <c r="AK39" s="4">
        <v>0</v>
      </c>
      <c r="AL39" s="4">
        <v>0</v>
      </c>
      <c r="AM39" s="4">
        <v>0</v>
      </c>
      <c r="AN39" s="4">
        <v>0</v>
      </c>
      <c r="AO39" s="4">
        <v>0</v>
      </c>
      <c r="AP39" t="str">
        <f t="shared" si="0"/>
        <v>('10748GR2', 0, 0, 0, 0, 0, 0, 0, 0, 0, 0, 0, 0, 0, 0, 0, 0, 0, 0, 0, 0, 0, 0, 0, 0, 0, 0, 0, 0, 0, 0, 0, 0, 0, 0, 0, 0, 0, 0, 0, 0),</v>
      </c>
    </row>
    <row r="40" spans="1:42" x14ac:dyDescent="0.2">
      <c r="A40" s="3" t="s">
        <v>86</v>
      </c>
      <c r="B40" s="3">
        <v>0</v>
      </c>
      <c r="C40" s="3">
        <v>0</v>
      </c>
      <c r="D40" s="3">
        <v>0</v>
      </c>
      <c r="E40" s="3">
        <v>0</v>
      </c>
      <c r="F40" s="3">
        <v>0</v>
      </c>
      <c r="G40" s="3">
        <v>0</v>
      </c>
      <c r="H40" s="3">
        <v>0</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0</v>
      </c>
      <c r="AA40" s="3">
        <v>0</v>
      </c>
      <c r="AB40" s="3">
        <v>0</v>
      </c>
      <c r="AC40" s="3">
        <v>0</v>
      </c>
      <c r="AD40" s="3">
        <v>0</v>
      </c>
      <c r="AE40" s="3">
        <v>0</v>
      </c>
      <c r="AF40" s="3">
        <v>0</v>
      </c>
      <c r="AG40" s="3">
        <v>0</v>
      </c>
      <c r="AH40" s="3">
        <v>0</v>
      </c>
      <c r="AI40" s="3">
        <v>0</v>
      </c>
      <c r="AJ40" s="3">
        <v>0</v>
      </c>
      <c r="AK40" s="3">
        <v>0</v>
      </c>
      <c r="AL40" s="3">
        <v>0</v>
      </c>
      <c r="AM40" s="3">
        <v>0</v>
      </c>
      <c r="AN40" s="3">
        <v>0</v>
      </c>
      <c r="AO40" s="3">
        <v>0</v>
      </c>
      <c r="AP40" t="str">
        <f t="shared" si="0"/>
        <v>('WTCR', 0, 0, 0, 0, 0, 0, 0, 0, 0, 0, 0, 0, 0, 0, 0, 0, 0, 0, 0, 0, 0, 0, 0, 0, 0, 0, 0, 0, 0, 0, 0, 0, 0, 0, 0, 0, 0, 0, 0, 0),</v>
      </c>
    </row>
    <row r="41" spans="1:42" x14ac:dyDescent="0.2">
      <c r="A41" s="4" t="s">
        <v>87</v>
      </c>
      <c r="B41" s="4">
        <v>0</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0</v>
      </c>
      <c r="Y41" s="4">
        <v>0</v>
      </c>
      <c r="Z41" s="4">
        <v>0</v>
      </c>
      <c r="AA41" s="4">
        <v>0</v>
      </c>
      <c r="AB41" s="4">
        <v>0</v>
      </c>
      <c r="AC41" s="4">
        <v>0</v>
      </c>
      <c r="AD41" s="4">
        <v>0</v>
      </c>
      <c r="AE41" s="4">
        <v>0</v>
      </c>
      <c r="AF41" s="4">
        <v>0</v>
      </c>
      <c r="AG41" s="4">
        <v>0</v>
      </c>
      <c r="AH41" s="4">
        <v>0</v>
      </c>
      <c r="AI41" s="4">
        <v>0</v>
      </c>
      <c r="AJ41" s="4">
        <v>0</v>
      </c>
      <c r="AK41" s="4">
        <v>0</v>
      </c>
      <c r="AL41" s="4">
        <v>0</v>
      </c>
      <c r="AM41" s="4">
        <v>0</v>
      </c>
      <c r="AN41" s="4">
        <v>0</v>
      </c>
      <c r="AO41" s="4">
        <v>0</v>
      </c>
      <c r="AP41" t="str">
        <f t="shared" si="0"/>
        <v>('G15', 0, 0, 0, 0, 0, 0, 0, 0, 0, 0, 0, 0, 0, 0, 0, 0, 0, 0, 0, 0, 0, 0, 0, 0, 0, 0, 0, 0, 0, 0, 0, 0, 0, 0, 0, 0, 0, 0, 0, 0),</v>
      </c>
    </row>
    <row r="42" spans="1:42" x14ac:dyDescent="0.2">
      <c r="A42" s="3" t="s">
        <v>88</v>
      </c>
      <c r="B42" s="3">
        <v>0</v>
      </c>
      <c r="C42" s="3">
        <v>0</v>
      </c>
      <c r="D42" s="3">
        <v>0</v>
      </c>
      <c r="E42" s="3">
        <v>0</v>
      </c>
      <c r="F42" s="3">
        <v>0</v>
      </c>
      <c r="G42" s="3">
        <v>0</v>
      </c>
      <c r="H42" s="3">
        <v>0</v>
      </c>
      <c r="I42" s="3">
        <v>0</v>
      </c>
      <c r="J42" s="3">
        <v>0</v>
      </c>
      <c r="K42" s="3">
        <v>0</v>
      </c>
      <c r="L42" s="3">
        <v>0</v>
      </c>
      <c r="M42" s="3">
        <v>0</v>
      </c>
      <c r="N42" s="3">
        <v>0</v>
      </c>
      <c r="O42" s="3">
        <v>0</v>
      </c>
      <c r="P42" s="3">
        <v>0</v>
      </c>
      <c r="Q42" s="3">
        <v>0</v>
      </c>
      <c r="R42" s="3">
        <v>0</v>
      </c>
      <c r="S42" s="3">
        <v>0</v>
      </c>
      <c r="T42" s="3">
        <v>0</v>
      </c>
      <c r="U42" s="3">
        <v>0</v>
      </c>
      <c r="V42" s="3">
        <v>0</v>
      </c>
      <c r="W42" s="3">
        <v>0</v>
      </c>
      <c r="X42" s="3">
        <v>0</v>
      </c>
      <c r="Y42" s="3">
        <v>0</v>
      </c>
      <c r="Z42" s="3">
        <v>0</v>
      </c>
      <c r="AA42" s="3">
        <v>0</v>
      </c>
      <c r="AB42" s="3">
        <v>0</v>
      </c>
      <c r="AC42" s="3">
        <v>0</v>
      </c>
      <c r="AD42" s="3">
        <v>0</v>
      </c>
      <c r="AE42" s="3">
        <v>0</v>
      </c>
      <c r="AF42" s="3">
        <v>0</v>
      </c>
      <c r="AG42" s="3">
        <v>0</v>
      </c>
      <c r="AH42" s="3">
        <v>0</v>
      </c>
      <c r="AI42" s="3">
        <v>0</v>
      </c>
      <c r="AJ42" s="3">
        <v>0</v>
      </c>
      <c r="AK42" s="3">
        <v>0</v>
      </c>
      <c r="AL42" s="3">
        <v>0</v>
      </c>
      <c r="AM42" s="3">
        <v>0</v>
      </c>
      <c r="AN42" s="3">
        <v>0</v>
      </c>
      <c r="AO42" s="3">
        <v>0</v>
      </c>
      <c r="AP42" t="str">
        <f t="shared" si="0"/>
        <v>('JD1M', 0, 0, 0, 0, 0, 0, 0, 0, 0, 0, 0, 0, 0, 0, 0, 0, 0, 0, 0, 0, 0, 0, 0, 0, 0, 0, 0, 0, 0, 0, 0, 0, 0, 0, 0, 0, 0, 0, 0, 0),</v>
      </c>
    </row>
    <row r="43" spans="1:42" x14ac:dyDescent="0.2">
      <c r="A43" s="4" t="s">
        <v>89</v>
      </c>
      <c r="B43" s="4">
        <v>0</v>
      </c>
      <c r="C43" s="4">
        <v>0</v>
      </c>
      <c r="D43" s="4">
        <v>0</v>
      </c>
      <c r="E43" s="4">
        <v>0</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c r="AA43" s="4">
        <v>0</v>
      </c>
      <c r="AB43" s="4">
        <v>0</v>
      </c>
      <c r="AC43" s="4">
        <v>0</v>
      </c>
      <c r="AD43" s="4">
        <v>0</v>
      </c>
      <c r="AE43" s="4">
        <v>0</v>
      </c>
      <c r="AF43" s="4">
        <v>0</v>
      </c>
      <c r="AG43" s="4">
        <v>0</v>
      </c>
      <c r="AH43" s="4">
        <v>0</v>
      </c>
      <c r="AI43" s="4">
        <v>0</v>
      </c>
      <c r="AJ43" s="4">
        <v>0</v>
      </c>
      <c r="AK43" s="4">
        <v>0</v>
      </c>
      <c r="AL43" s="4">
        <v>0</v>
      </c>
      <c r="AM43" s="4">
        <v>0</v>
      </c>
      <c r="AN43" s="4">
        <v>0</v>
      </c>
      <c r="AO43" s="4">
        <v>0</v>
      </c>
      <c r="AP43" t="str">
        <f t="shared" si="0"/>
        <v>('MC40', 0, 0, 0, 0, 0, 0, 0, 0, 0, 0, 0, 0, 0, 0, 0, 0, 0, 0, 0, 0, 0, 0, 0, 0, 0, 0, 0, 0, 0, 0, 0, 0, 0, 0, 0, 0, 0, 0, 0, 0),</v>
      </c>
    </row>
    <row r="44" spans="1:42" x14ac:dyDescent="0.2">
      <c r="A44" s="3" t="s">
        <v>90</v>
      </c>
      <c r="B44" s="3">
        <v>0</v>
      </c>
      <c r="C44" s="3">
        <v>0</v>
      </c>
      <c r="D44" s="3">
        <v>0</v>
      </c>
      <c r="E44" s="3">
        <v>0</v>
      </c>
      <c r="F44" s="3">
        <v>0</v>
      </c>
      <c r="G44" s="3">
        <v>0</v>
      </c>
      <c r="H44" s="3">
        <v>0</v>
      </c>
      <c r="I44" s="3">
        <v>0</v>
      </c>
      <c r="J44" s="3">
        <v>0</v>
      </c>
      <c r="K44" s="3">
        <v>0</v>
      </c>
      <c r="L44" s="3">
        <v>0</v>
      </c>
      <c r="M44" s="3">
        <v>0</v>
      </c>
      <c r="N44" s="3">
        <v>0</v>
      </c>
      <c r="O44" s="3">
        <v>0</v>
      </c>
      <c r="P44" s="3">
        <v>0</v>
      </c>
      <c r="Q44" s="3">
        <v>0</v>
      </c>
      <c r="R44" s="3">
        <v>0</v>
      </c>
      <c r="S44" s="3">
        <v>0</v>
      </c>
      <c r="T44" s="3">
        <v>0</v>
      </c>
      <c r="U44" s="3">
        <v>0</v>
      </c>
      <c r="V44" s="3">
        <v>0</v>
      </c>
      <c r="W44" s="3">
        <v>0</v>
      </c>
      <c r="X44" s="3">
        <v>0</v>
      </c>
      <c r="Y44" s="3">
        <v>0</v>
      </c>
      <c r="Z44" s="3">
        <v>0</v>
      </c>
      <c r="AA44" s="3">
        <v>0</v>
      </c>
      <c r="AB44" s="3">
        <v>0</v>
      </c>
      <c r="AC44" s="3">
        <v>0</v>
      </c>
      <c r="AD44" s="3">
        <v>0</v>
      </c>
      <c r="AE44" s="3">
        <v>0</v>
      </c>
      <c r="AF44" s="3">
        <v>0</v>
      </c>
      <c r="AG44" s="3">
        <v>0</v>
      </c>
      <c r="AH44" s="3">
        <v>0</v>
      </c>
      <c r="AI44" s="3">
        <v>0</v>
      </c>
      <c r="AJ44" s="3">
        <v>0</v>
      </c>
      <c r="AK44" s="3">
        <v>0</v>
      </c>
      <c r="AL44" s="3">
        <v>0</v>
      </c>
      <c r="AM44" s="3">
        <v>0</v>
      </c>
      <c r="AN44" s="3">
        <v>0</v>
      </c>
      <c r="AO44" s="3">
        <v>0</v>
      </c>
      <c r="AP44" t="str">
        <f t="shared" si="0"/>
        <v>('MC50', 0, 0, 0, 0, 0, 0, 0, 0, 0, 0, 0, 0, 0, 0, 0, 0, 0, 0, 0, 0, 0, 0, 0, 0, 0, 0, 0, 0, 0, 0, 0, 0, 0, 0, 0, 0, 0, 0, 0, 0),</v>
      </c>
    </row>
    <row r="45" spans="1:42" x14ac:dyDescent="0.2">
      <c r="A45" s="4" t="s">
        <v>91</v>
      </c>
      <c r="B45" s="4">
        <v>0</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c r="Z45" s="4">
        <v>0</v>
      </c>
      <c r="AA45" s="4">
        <v>0</v>
      </c>
      <c r="AB45" s="4">
        <v>0</v>
      </c>
      <c r="AC45" s="4">
        <v>0</v>
      </c>
      <c r="AD45" s="4">
        <v>0</v>
      </c>
      <c r="AE45" s="4">
        <v>0</v>
      </c>
      <c r="AF45" s="4">
        <v>0</v>
      </c>
      <c r="AG45" s="4">
        <v>0</v>
      </c>
      <c r="AH45" s="4">
        <v>0</v>
      </c>
      <c r="AI45" s="4">
        <v>0</v>
      </c>
      <c r="AJ45" s="4">
        <v>0</v>
      </c>
      <c r="AK45" s="4">
        <v>0</v>
      </c>
      <c r="AL45" s="4">
        <v>0</v>
      </c>
      <c r="AM45" s="4">
        <v>0</v>
      </c>
      <c r="AN45" s="4">
        <v>0</v>
      </c>
      <c r="AO45" s="4">
        <v>0</v>
      </c>
      <c r="AP45" t="str">
        <f t="shared" si="0"/>
        <v>('MC55', 0, 0, 0, 0, 0, 0, 0, 0, 0, 0, 0, 0, 0, 0, 0, 0, 0, 0, 0, 0, 0, 0, 0, 0, 0, 0, 0, 0, 0, 0, 0, 0, 0, 0, 0, 0, 0, 0, 0, 0),</v>
      </c>
    </row>
    <row r="46" spans="1:42" x14ac:dyDescent="0.2">
      <c r="A46" s="3" t="s">
        <v>92</v>
      </c>
      <c r="B46" s="3">
        <v>0</v>
      </c>
      <c r="C46" s="3">
        <v>0</v>
      </c>
      <c r="D46" s="3">
        <v>0</v>
      </c>
      <c r="E46" s="3">
        <v>0</v>
      </c>
      <c r="F46" s="3">
        <v>0</v>
      </c>
      <c r="G46" s="3">
        <v>0</v>
      </c>
      <c r="H46" s="3">
        <v>0</v>
      </c>
      <c r="I46" s="3">
        <v>0</v>
      </c>
      <c r="J46" s="3">
        <v>0</v>
      </c>
      <c r="K46" s="3">
        <v>0</v>
      </c>
      <c r="L46" s="3">
        <v>0</v>
      </c>
      <c r="M46" s="3">
        <v>0</v>
      </c>
      <c r="N46" s="3">
        <v>0</v>
      </c>
      <c r="O46" s="3">
        <v>0</v>
      </c>
      <c r="P46" s="3">
        <v>0</v>
      </c>
      <c r="Q46" s="3">
        <v>0</v>
      </c>
      <c r="R46" s="3">
        <v>0</v>
      </c>
      <c r="S46" s="3">
        <v>0</v>
      </c>
      <c r="T46" s="3">
        <v>0</v>
      </c>
      <c r="U46" s="3">
        <v>0</v>
      </c>
      <c r="V46" s="3">
        <v>0</v>
      </c>
      <c r="W46" s="3">
        <v>0</v>
      </c>
      <c r="X46" s="3">
        <v>0</v>
      </c>
      <c r="Y46" s="3">
        <v>0</v>
      </c>
      <c r="Z46" s="3">
        <v>0</v>
      </c>
      <c r="AA46" s="3">
        <v>0</v>
      </c>
      <c r="AB46" s="3">
        <v>0</v>
      </c>
      <c r="AC46" s="3">
        <v>0</v>
      </c>
      <c r="AD46" s="3">
        <v>0</v>
      </c>
      <c r="AE46" s="3">
        <v>0</v>
      </c>
      <c r="AF46" s="3">
        <v>0</v>
      </c>
      <c r="AG46" s="3">
        <v>0</v>
      </c>
      <c r="AH46" s="3">
        <v>0</v>
      </c>
      <c r="AI46" s="3">
        <v>0</v>
      </c>
      <c r="AJ46" s="3">
        <v>0</v>
      </c>
      <c r="AK46" s="3">
        <v>0</v>
      </c>
      <c r="AL46" s="3">
        <v>0</v>
      </c>
      <c r="AM46" s="3">
        <v>0</v>
      </c>
      <c r="AN46" s="3">
        <v>0</v>
      </c>
      <c r="AO46" s="3">
        <v>0</v>
      </c>
      <c r="AP46" t="str">
        <f t="shared" si="0"/>
        <v>('T11', 0, 0, 0, 0, 0, 0, 0, 0, 0, 0, 0, 0, 0, 0, 0, 0, 0, 0, 0, 0, 0, 0, 0, 0, 0, 0, 0, 0, 0, 0, 0, 0, 0, 0, 0, 0, 0, 0, 0, 0),</v>
      </c>
    </row>
    <row r="47" spans="1:42" x14ac:dyDescent="0.2">
      <c r="A47" s="4" t="s">
        <v>93</v>
      </c>
      <c r="B47" s="4">
        <v>0</v>
      </c>
      <c r="C47" s="4">
        <v>0</v>
      </c>
      <c r="D47" s="4">
        <v>0</v>
      </c>
      <c r="E47" s="4">
        <v>0</v>
      </c>
      <c r="F47" s="4">
        <v>0</v>
      </c>
      <c r="G47" s="4">
        <v>0</v>
      </c>
      <c r="H47" s="4">
        <v>0</v>
      </c>
      <c r="I47" s="4">
        <v>0</v>
      </c>
      <c r="J47" s="4">
        <v>0</v>
      </c>
      <c r="K47" s="4">
        <v>0</v>
      </c>
      <c r="L47" s="4">
        <v>0</v>
      </c>
      <c r="M47" s="4">
        <v>0</v>
      </c>
      <c r="N47" s="4">
        <v>0</v>
      </c>
      <c r="O47" s="4">
        <v>0</v>
      </c>
      <c r="P47" s="4">
        <v>0</v>
      </c>
      <c r="Q47" s="4">
        <v>0</v>
      </c>
      <c r="R47" s="4">
        <v>0</v>
      </c>
      <c r="S47" s="4">
        <v>0</v>
      </c>
      <c r="T47" s="4">
        <v>0</v>
      </c>
      <c r="U47" s="4">
        <v>0</v>
      </c>
      <c r="V47" s="4">
        <v>0</v>
      </c>
      <c r="W47" s="4">
        <v>0</v>
      </c>
      <c r="X47" s="4">
        <v>0</v>
      </c>
      <c r="Y47" s="4">
        <v>0</v>
      </c>
      <c r="Z47" s="4">
        <v>0</v>
      </c>
      <c r="AA47" s="4">
        <v>0</v>
      </c>
      <c r="AB47" s="4">
        <v>0</v>
      </c>
      <c r="AC47" s="4">
        <v>0</v>
      </c>
      <c r="AD47" s="4">
        <v>0</v>
      </c>
      <c r="AE47" s="4">
        <v>0</v>
      </c>
      <c r="AF47" s="4">
        <v>0</v>
      </c>
      <c r="AG47" s="4">
        <v>0</v>
      </c>
      <c r="AH47" s="4">
        <v>0</v>
      </c>
      <c r="AI47" s="4">
        <v>0</v>
      </c>
      <c r="AJ47" s="4">
        <v>0</v>
      </c>
      <c r="AK47" s="4">
        <v>0</v>
      </c>
      <c r="AL47" s="4">
        <v>0</v>
      </c>
      <c r="AM47" s="4">
        <v>0</v>
      </c>
      <c r="AN47" s="4">
        <v>0</v>
      </c>
      <c r="AO47" s="4">
        <v>0</v>
      </c>
      <c r="AP47" t="str">
        <f t="shared" si="0"/>
        <v>('G05', 0, 0, 0, 0, 0, 0, 0, 0, 0, 0, 0, 0, 0, 0, 0, 0, 0, 0, 0, 0, 0, 0, 0, 0, 0, 0, 0, 0, 0, 0, 0, 0, 0, 0, 0, 0, 0, 0, 0, 0),</v>
      </c>
    </row>
    <row r="48" spans="1:42" x14ac:dyDescent="0.2">
      <c r="A48" s="3" t="s">
        <v>94</v>
      </c>
      <c r="B48" s="3">
        <v>0</v>
      </c>
      <c r="C48" s="3">
        <v>0</v>
      </c>
      <c r="D48" s="3">
        <v>0</v>
      </c>
      <c r="E48" s="3">
        <v>0</v>
      </c>
      <c r="F48" s="3">
        <v>0</v>
      </c>
      <c r="G48" s="3">
        <v>0</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c r="AD48" s="3">
        <v>0</v>
      </c>
      <c r="AE48" s="3">
        <v>0</v>
      </c>
      <c r="AF48" s="3">
        <v>0</v>
      </c>
      <c r="AG48" s="3">
        <v>0</v>
      </c>
      <c r="AH48" s="3">
        <v>0</v>
      </c>
      <c r="AI48" s="3">
        <v>0</v>
      </c>
      <c r="AJ48" s="3">
        <v>0</v>
      </c>
      <c r="AK48" s="3">
        <v>0</v>
      </c>
      <c r="AL48" s="3">
        <v>0</v>
      </c>
      <c r="AM48" s="3">
        <v>0</v>
      </c>
      <c r="AN48" s="3">
        <v>0</v>
      </c>
      <c r="AO48" s="3">
        <v>0</v>
      </c>
      <c r="AP48" t="str">
        <f t="shared" si="0"/>
        <v>('G18', 0, 0, 0, 0, 0, 0, 0, 0, 0, 0, 0, 0, 0, 0, 0, 0, 0, 0, 0, 0, 0, 0, 0, 0, 0, 0, 0, 0, 0, 0, 0, 0, 0, 0, 0, 0, 0, 0, 0, 0),</v>
      </c>
    </row>
    <row r="49" spans="1:42" x14ac:dyDescent="0.2">
      <c r="A49" s="4" t="s">
        <v>95</v>
      </c>
      <c r="B49" s="4">
        <v>0</v>
      </c>
      <c r="C49" s="4">
        <v>0</v>
      </c>
      <c r="D49" s="4">
        <v>0</v>
      </c>
      <c r="E49" s="4">
        <v>0</v>
      </c>
      <c r="F49" s="4">
        <v>0</v>
      </c>
      <c r="G49" s="4">
        <v>0</v>
      </c>
      <c r="H49" s="4">
        <v>0</v>
      </c>
      <c r="I49" s="4">
        <v>0</v>
      </c>
      <c r="J49" s="4">
        <v>0</v>
      </c>
      <c r="K49" s="4">
        <v>0</v>
      </c>
      <c r="L49" s="4">
        <v>0</v>
      </c>
      <c r="M49" s="4">
        <v>0</v>
      </c>
      <c r="N49" s="4">
        <v>0</v>
      </c>
      <c r="O49" s="4">
        <v>0</v>
      </c>
      <c r="P49" s="4">
        <v>0</v>
      </c>
      <c r="Q49" s="4">
        <v>0</v>
      </c>
      <c r="R49" s="4">
        <v>0</v>
      </c>
      <c r="S49" s="4">
        <v>0</v>
      </c>
      <c r="T49" s="4">
        <v>0</v>
      </c>
      <c r="U49" s="4">
        <v>0</v>
      </c>
      <c r="V49" s="4">
        <v>0</v>
      </c>
      <c r="W49" s="4">
        <v>0</v>
      </c>
      <c r="X49" s="4">
        <v>0</v>
      </c>
      <c r="Y49" s="4">
        <v>0</v>
      </c>
      <c r="Z49" s="4">
        <v>0</v>
      </c>
      <c r="AA49" s="4">
        <v>0</v>
      </c>
      <c r="AB49" s="4">
        <v>0</v>
      </c>
      <c r="AC49" s="4">
        <v>0</v>
      </c>
      <c r="AD49" s="4">
        <v>0</v>
      </c>
      <c r="AE49" s="4">
        <v>0</v>
      </c>
      <c r="AF49" s="4">
        <v>0</v>
      </c>
      <c r="AG49" s="4">
        <v>0</v>
      </c>
      <c r="AH49" s="4">
        <v>0</v>
      </c>
      <c r="AI49" s="4">
        <v>0</v>
      </c>
      <c r="AJ49" s="4">
        <v>0</v>
      </c>
      <c r="AK49" s="4">
        <v>0</v>
      </c>
      <c r="AL49" s="4">
        <v>0</v>
      </c>
      <c r="AM49" s="4">
        <v>0</v>
      </c>
      <c r="AN49" s="4">
        <v>0</v>
      </c>
      <c r="AO49" s="4">
        <v>0</v>
      </c>
      <c r="AP49" t="str">
        <f t="shared" si="0"/>
        <v>('X06', 0, 0, 0, 0, 0, 0, 0, 0, 0, 0, 0, 0, 0, 0, 0, 0, 0, 0, 0, 0, 0, 0, 0, 0, 0, 0, 0, 0, 0, 0, 0, 0, 0, 0, 0, 0, 0, 0, 0, 0),</v>
      </c>
    </row>
    <row r="50" spans="1:42" x14ac:dyDescent="0.2">
      <c r="A50" s="3" t="s">
        <v>96</v>
      </c>
      <c r="B50" s="3">
        <v>0</v>
      </c>
      <c r="C50" s="3">
        <v>0</v>
      </c>
      <c r="D50" s="3">
        <v>0</v>
      </c>
      <c r="E50" s="3">
        <v>0</v>
      </c>
      <c r="F50" s="3">
        <v>0</v>
      </c>
      <c r="G50" s="3">
        <v>0</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c r="AA50" s="3">
        <v>0</v>
      </c>
      <c r="AB50" s="3">
        <v>0</v>
      </c>
      <c r="AC50" s="3">
        <v>0</v>
      </c>
      <c r="AD50" s="3">
        <v>0</v>
      </c>
      <c r="AE50" s="3">
        <v>0</v>
      </c>
      <c r="AF50" s="3">
        <v>0</v>
      </c>
      <c r="AG50" s="3">
        <v>0</v>
      </c>
      <c r="AH50" s="3">
        <v>0</v>
      </c>
      <c r="AI50" s="3">
        <v>0</v>
      </c>
      <c r="AJ50" s="3">
        <v>0</v>
      </c>
      <c r="AK50" s="3">
        <v>0</v>
      </c>
      <c r="AL50" s="3">
        <v>0</v>
      </c>
      <c r="AM50" s="3">
        <v>0</v>
      </c>
      <c r="AN50" s="3">
        <v>0</v>
      </c>
      <c r="AO50" s="3">
        <v>0</v>
      </c>
      <c r="AP50" t="str">
        <f t="shared" si="0"/>
        <v>('D12', 0, 0, 0, 0, 0, 0, 0, 0, 0, 0, 0, 0, 0, 0, 0, 0, 0, 0, 0, 0, 0, 0, 0, 0, 0, 0, 0, 0, 0, 0, 0, 0, 0, 0, 0, 0, 0, 0, 0, 0),</v>
      </c>
    </row>
    <row r="51" spans="1:42" x14ac:dyDescent="0.2">
      <c r="A51" s="4" t="s">
        <v>97</v>
      </c>
      <c r="B51" s="4">
        <v>0</v>
      </c>
      <c r="C51" s="4">
        <v>0</v>
      </c>
      <c r="D51" s="4">
        <v>0</v>
      </c>
      <c r="E51" s="4">
        <v>0</v>
      </c>
      <c r="F51" s="4">
        <v>0</v>
      </c>
      <c r="G51" s="4">
        <v>0</v>
      </c>
      <c r="H51" s="4">
        <v>0</v>
      </c>
      <c r="I51" s="4">
        <v>0</v>
      </c>
      <c r="J51" s="4">
        <v>0</v>
      </c>
      <c r="K51" s="4">
        <v>0</v>
      </c>
      <c r="L51" s="4">
        <v>0</v>
      </c>
      <c r="M51" s="4">
        <v>0</v>
      </c>
      <c r="N51" s="4">
        <v>0</v>
      </c>
      <c r="O51" s="4">
        <v>0</v>
      </c>
      <c r="P51" s="4">
        <v>0</v>
      </c>
      <c r="Q51" s="4">
        <v>0</v>
      </c>
      <c r="R51" s="4">
        <v>0</v>
      </c>
      <c r="S51" s="4">
        <v>0</v>
      </c>
      <c r="T51" s="4">
        <v>0</v>
      </c>
      <c r="U51" s="4">
        <v>0</v>
      </c>
      <c r="V51" s="4">
        <v>0</v>
      </c>
      <c r="W51" s="4">
        <v>0</v>
      </c>
      <c r="X51" s="4">
        <v>0</v>
      </c>
      <c r="Y51" s="4">
        <v>0</v>
      </c>
      <c r="Z51" s="4">
        <v>0</v>
      </c>
      <c r="AA51" s="4">
        <v>0</v>
      </c>
      <c r="AB51" s="4">
        <v>0</v>
      </c>
      <c r="AC51" s="4">
        <v>0</v>
      </c>
      <c r="AD51" s="4">
        <v>0</v>
      </c>
      <c r="AE51" s="4">
        <v>0</v>
      </c>
      <c r="AF51" s="4">
        <v>0</v>
      </c>
      <c r="AG51" s="4">
        <v>0</v>
      </c>
      <c r="AH51" s="4">
        <v>0</v>
      </c>
      <c r="AI51" s="4">
        <v>0</v>
      </c>
      <c r="AJ51" s="4">
        <v>0</v>
      </c>
      <c r="AK51" s="4">
        <v>0</v>
      </c>
      <c r="AL51" s="4">
        <v>0</v>
      </c>
      <c r="AM51" s="4">
        <v>0</v>
      </c>
      <c r="AN51" s="4">
        <v>0</v>
      </c>
      <c r="AO51" s="4">
        <v>0</v>
      </c>
      <c r="AP51" t="str">
        <f t="shared" si="0"/>
        <v>('JA25HRST01', 0, 0, 0, 0, 0, 0, 0, 0, 0, 0, 0, 0, 0, 0, 0, 0, 0, 0, 0, 0, 0, 0, 0, 0, 0, 0, 0, 0, 0, 0, 0, 0, 0, 0, 0, 0, 0, 0, 0, 0),</v>
      </c>
    </row>
    <row r="52" spans="1:42" x14ac:dyDescent="0.2">
      <c r="A52" s="3" t="s">
        <v>98</v>
      </c>
      <c r="B52" s="3">
        <v>0</v>
      </c>
      <c r="C52" s="3">
        <v>0</v>
      </c>
      <c r="D52" s="3">
        <v>0</v>
      </c>
      <c r="E52" s="3">
        <v>0</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c r="AB52" s="3">
        <v>0</v>
      </c>
      <c r="AC52" s="3">
        <v>0</v>
      </c>
      <c r="AD52" s="3">
        <v>0</v>
      </c>
      <c r="AE52" s="3">
        <v>0</v>
      </c>
      <c r="AF52" s="3">
        <v>0</v>
      </c>
      <c r="AG52" s="3">
        <v>0</v>
      </c>
      <c r="AH52" s="3">
        <v>0</v>
      </c>
      <c r="AI52" s="3">
        <v>0</v>
      </c>
      <c r="AJ52" s="3">
        <v>0</v>
      </c>
      <c r="AK52" s="3">
        <v>0</v>
      </c>
      <c r="AL52" s="3">
        <v>0</v>
      </c>
      <c r="AM52" s="3">
        <v>0</v>
      </c>
      <c r="AN52" s="3">
        <v>0</v>
      </c>
      <c r="AO52" s="3">
        <v>0</v>
      </c>
      <c r="AP52" t="str">
        <f t="shared" si="0"/>
        <v>('G19', 0, 0, 0, 0, 0, 0, 0, 0, 0, 0, 0, 0, 0, 0, 0, 0, 0, 0, 0, 0, 0, 0, 0, 0, 0, 0, 0, 0, 0, 0, 0, 0, 0, 0, 0, 0, 0, 0, 0, 0),</v>
      </c>
    </row>
    <row r="53" spans="1:42" x14ac:dyDescent="0.2">
      <c r="A53" s="4" t="s">
        <v>99</v>
      </c>
      <c r="B53" s="4">
        <v>0</v>
      </c>
      <c r="C53" s="4">
        <v>0</v>
      </c>
      <c r="D53" s="4">
        <v>0</v>
      </c>
      <c r="E53" s="4">
        <v>0</v>
      </c>
      <c r="F53" s="4">
        <v>0</v>
      </c>
      <c r="G53" s="4">
        <v>0</v>
      </c>
      <c r="H53" s="4">
        <v>0</v>
      </c>
      <c r="I53" s="4">
        <v>0</v>
      </c>
      <c r="J53" s="4">
        <v>0</v>
      </c>
      <c r="K53" s="4">
        <v>0</v>
      </c>
      <c r="L53" s="4">
        <v>0</v>
      </c>
      <c r="M53" s="4">
        <v>0</v>
      </c>
      <c r="N53" s="4">
        <v>0</v>
      </c>
      <c r="O53" s="4">
        <v>0</v>
      </c>
      <c r="P53" s="4">
        <v>0</v>
      </c>
      <c r="Q53" s="4">
        <v>0</v>
      </c>
      <c r="R53" s="4">
        <v>0</v>
      </c>
      <c r="S53" s="4">
        <v>0</v>
      </c>
      <c r="T53" s="4">
        <v>0</v>
      </c>
      <c r="U53" s="4">
        <v>0</v>
      </c>
      <c r="V53" s="4">
        <v>0</v>
      </c>
      <c r="W53" s="4">
        <v>0</v>
      </c>
      <c r="X53" s="4">
        <v>0</v>
      </c>
      <c r="Y53" s="4">
        <v>0</v>
      </c>
      <c r="Z53" s="4">
        <v>0</v>
      </c>
      <c r="AA53" s="4">
        <v>0</v>
      </c>
      <c r="AB53" s="4">
        <v>0</v>
      </c>
      <c r="AC53" s="4">
        <v>0</v>
      </c>
      <c r="AD53" s="4">
        <v>0</v>
      </c>
      <c r="AE53" s="4">
        <v>0</v>
      </c>
      <c r="AF53" s="4">
        <v>0</v>
      </c>
      <c r="AG53" s="4">
        <v>0</v>
      </c>
      <c r="AH53" s="4">
        <v>0</v>
      </c>
      <c r="AI53" s="4">
        <v>0</v>
      </c>
      <c r="AJ53" s="4">
        <v>0</v>
      </c>
      <c r="AK53" s="4">
        <v>0</v>
      </c>
      <c r="AL53" s="4">
        <v>0</v>
      </c>
      <c r="AM53" s="4">
        <v>0</v>
      </c>
      <c r="AN53" s="4">
        <v>0</v>
      </c>
      <c r="AO53" s="4">
        <v>0</v>
      </c>
      <c r="AP53" t="str">
        <f t="shared" si="0"/>
        <v>('G06', 0, 0, 0, 0, 0, 0, 0, 0, 0, 0, 0, 0, 0, 0, 0, 0, 0, 0, 0, 0, 0, 0, 0, 0, 0, 0, 0, 0, 0, 0, 0, 0, 0, 0, 0, 0, 0, 0, 0, 0),</v>
      </c>
    </row>
    <row r="54" spans="1:42" x14ac:dyDescent="0.2">
      <c r="A54" s="3" t="s">
        <v>100</v>
      </c>
      <c r="B54" s="3">
        <v>0</v>
      </c>
      <c r="C54" s="3">
        <v>0</v>
      </c>
      <c r="D54" s="3">
        <v>0</v>
      </c>
      <c r="E54" s="3">
        <v>0</v>
      </c>
      <c r="F54" s="3">
        <v>0</v>
      </c>
      <c r="G54" s="3">
        <v>0</v>
      </c>
      <c r="H54" s="3">
        <v>0</v>
      </c>
      <c r="I54" s="3">
        <v>0</v>
      </c>
      <c r="J54" s="3">
        <v>0</v>
      </c>
      <c r="K54" s="3">
        <v>0</v>
      </c>
      <c r="L54" s="3">
        <v>0</v>
      </c>
      <c r="M54" s="3">
        <v>0</v>
      </c>
      <c r="N54" s="3">
        <v>0</v>
      </c>
      <c r="O54" s="3">
        <v>0</v>
      </c>
      <c r="P54" s="3">
        <v>0</v>
      </c>
      <c r="Q54" s="3">
        <v>0</v>
      </c>
      <c r="R54" s="3">
        <v>0</v>
      </c>
      <c r="S54" s="3">
        <v>0</v>
      </c>
      <c r="T54" s="3">
        <v>0</v>
      </c>
      <c r="U54" s="3">
        <v>0</v>
      </c>
      <c r="V54" s="3">
        <v>0</v>
      </c>
      <c r="W54" s="3">
        <v>0</v>
      </c>
      <c r="X54" s="3">
        <v>0</v>
      </c>
      <c r="Y54" s="3">
        <v>0</v>
      </c>
      <c r="Z54" s="3">
        <v>0</v>
      </c>
      <c r="AA54" s="3">
        <v>0</v>
      </c>
      <c r="AB54" s="3">
        <v>0</v>
      </c>
      <c r="AC54" s="3">
        <v>0</v>
      </c>
      <c r="AD54" s="3">
        <v>0</v>
      </c>
      <c r="AE54" s="3">
        <v>0</v>
      </c>
      <c r="AF54" s="3">
        <v>0</v>
      </c>
      <c r="AG54" s="3">
        <v>0</v>
      </c>
      <c r="AH54" s="3">
        <v>0</v>
      </c>
      <c r="AI54" s="3">
        <v>0</v>
      </c>
      <c r="AJ54" s="3">
        <v>0</v>
      </c>
      <c r="AK54" s="3">
        <v>0</v>
      </c>
      <c r="AL54" s="3">
        <v>0</v>
      </c>
      <c r="AM54" s="3">
        <v>0</v>
      </c>
      <c r="AN54" s="3">
        <v>0</v>
      </c>
      <c r="AO54" s="3">
        <v>0</v>
      </c>
      <c r="AP54" t="str">
        <f t="shared" si="0"/>
        <v>('G17', 0, 0, 0, 0, 0, 0, 0, 0, 0, 0, 0, 0, 0, 0, 0, 0, 0, 0, 0, 0, 0, 0, 0, 0, 0, 0, 0, 0, 0, 0, 0, 0, 0, 0, 0, 0, 0, 0, 0, 0),</v>
      </c>
    </row>
    <row r="55" spans="1:42" x14ac:dyDescent="0.2">
      <c r="A55" s="4" t="s">
        <v>101</v>
      </c>
      <c r="B55" s="4">
        <v>0</v>
      </c>
      <c r="C55" s="4">
        <v>0</v>
      </c>
      <c r="D55" s="4">
        <v>0</v>
      </c>
      <c r="E55" s="4">
        <v>0</v>
      </c>
      <c r="F55" s="4">
        <v>0</v>
      </c>
      <c r="G55" s="4">
        <v>0</v>
      </c>
      <c r="H55" s="4">
        <v>0</v>
      </c>
      <c r="I55" s="4">
        <v>0</v>
      </c>
      <c r="J55" s="4">
        <v>0</v>
      </c>
      <c r="K55" s="4">
        <v>0</v>
      </c>
      <c r="L55" s="4">
        <v>0</v>
      </c>
      <c r="M55" s="4">
        <v>0</v>
      </c>
      <c r="N55" s="4">
        <v>0</v>
      </c>
      <c r="O55" s="4">
        <v>0</v>
      </c>
      <c r="P55" s="4">
        <v>0</v>
      </c>
      <c r="Q55" s="4">
        <v>0</v>
      </c>
      <c r="R55" s="4">
        <v>0</v>
      </c>
      <c r="S55" s="4">
        <v>0</v>
      </c>
      <c r="T55" s="4">
        <v>0</v>
      </c>
      <c r="U55" s="4">
        <v>0</v>
      </c>
      <c r="V55" s="4">
        <v>0</v>
      </c>
      <c r="W55" s="4">
        <v>0</v>
      </c>
      <c r="X55" s="4">
        <v>0</v>
      </c>
      <c r="Y55" s="4">
        <v>0</v>
      </c>
      <c r="Z55" s="4">
        <v>0</v>
      </c>
      <c r="AA55" s="4">
        <v>0</v>
      </c>
      <c r="AB55" s="4">
        <v>0</v>
      </c>
      <c r="AC55" s="4">
        <v>0</v>
      </c>
      <c r="AD55" s="4">
        <v>0</v>
      </c>
      <c r="AE55" s="4">
        <v>0</v>
      </c>
      <c r="AF55" s="4">
        <v>0</v>
      </c>
      <c r="AG55" s="4">
        <v>0</v>
      </c>
      <c r="AH55" s="4">
        <v>0</v>
      </c>
      <c r="AI55" s="4">
        <v>0</v>
      </c>
      <c r="AJ55" s="4">
        <v>0</v>
      </c>
      <c r="AK55" s="4">
        <v>0</v>
      </c>
      <c r="AL55" s="4">
        <v>0</v>
      </c>
      <c r="AM55" s="4">
        <v>0</v>
      </c>
      <c r="AN55" s="4">
        <v>0</v>
      </c>
      <c r="AO55" s="4">
        <v>0</v>
      </c>
      <c r="AP55" t="str">
        <f t="shared" si="0"/>
        <v>('C09', 0, 0, 0, 0, 0, 0, 0, 0, 0, 0, 0, 0, 0, 0, 0, 0, 0, 0, 0, 0, 0, 0, 0, 0, 0, 0, 0, 0, 0, 0, 0, 0, 0, 0, 0, 0, 0, 0, 0, 0),</v>
      </c>
    </row>
    <row r="56" spans="1:42" x14ac:dyDescent="0.2">
      <c r="A56" s="3" t="s">
        <v>102</v>
      </c>
      <c r="B56" s="3">
        <v>0</v>
      </c>
      <c r="C56" s="3">
        <v>0</v>
      </c>
      <c r="D56" s="3">
        <v>0</v>
      </c>
      <c r="E56" s="3">
        <v>0</v>
      </c>
      <c r="F56" s="3">
        <v>0</v>
      </c>
      <c r="G56" s="3">
        <v>0</v>
      </c>
      <c r="H56" s="3">
        <v>0</v>
      </c>
      <c r="I56" s="3">
        <v>0</v>
      </c>
      <c r="J56" s="3">
        <v>0</v>
      </c>
      <c r="K56" s="3">
        <v>0</v>
      </c>
      <c r="L56" s="3">
        <v>0</v>
      </c>
      <c r="M56" s="3">
        <v>0</v>
      </c>
      <c r="N56" s="3">
        <v>0</v>
      </c>
      <c r="O56" s="3">
        <v>0</v>
      </c>
      <c r="P56" s="3">
        <v>0</v>
      </c>
      <c r="Q56" s="3">
        <v>0</v>
      </c>
      <c r="R56" s="3">
        <v>0</v>
      </c>
      <c r="S56" s="3">
        <v>0</v>
      </c>
      <c r="T56" s="3">
        <v>0</v>
      </c>
      <c r="U56" s="3">
        <v>0</v>
      </c>
      <c r="V56" s="3">
        <v>0</v>
      </c>
      <c r="W56" s="3">
        <v>0</v>
      </c>
      <c r="X56" s="3">
        <v>0</v>
      </c>
      <c r="Y56" s="3">
        <v>0</v>
      </c>
      <c r="Z56" s="3">
        <v>0</v>
      </c>
      <c r="AA56" s="3">
        <v>0</v>
      </c>
      <c r="AB56" s="3">
        <v>0</v>
      </c>
      <c r="AC56" s="3">
        <v>0</v>
      </c>
      <c r="AD56" s="3">
        <v>0</v>
      </c>
      <c r="AE56" s="3">
        <v>0</v>
      </c>
      <c r="AF56" s="3">
        <v>0</v>
      </c>
      <c r="AG56" s="3">
        <v>0</v>
      </c>
      <c r="AH56" s="3">
        <v>0</v>
      </c>
      <c r="AI56" s="3">
        <v>0</v>
      </c>
      <c r="AJ56" s="3">
        <v>0</v>
      </c>
      <c r="AK56" s="3">
        <v>0</v>
      </c>
      <c r="AL56" s="3">
        <v>0</v>
      </c>
      <c r="AM56" s="3">
        <v>0</v>
      </c>
      <c r="AN56" s="3">
        <v>0</v>
      </c>
      <c r="AO56" s="3">
        <v>0</v>
      </c>
      <c r="AP56" t="str">
        <f t="shared" si="0"/>
        <v>('H12', 0, 0, 0, 0, 0, 0, 0, 0, 0, 0, 0, 0, 0, 0, 0, 0, 0, 0, 0, 0, 0, 0, 0, 0, 0, 0, 0, 0, 0, 0, 0, 0, 0, 0, 0, 0, 0, 0, 0, 0),</v>
      </c>
    </row>
    <row r="57" spans="1:42" x14ac:dyDescent="0.2">
      <c r="A57" s="4" t="s">
        <v>103</v>
      </c>
      <c r="B57" s="4">
        <v>0</v>
      </c>
      <c r="C57" s="4">
        <v>0</v>
      </c>
      <c r="D57" s="4">
        <v>0</v>
      </c>
      <c r="E57" s="4">
        <v>0</v>
      </c>
      <c r="F57" s="4">
        <v>0</v>
      </c>
      <c r="G57" s="4">
        <v>0</v>
      </c>
      <c r="H57" s="4">
        <v>0</v>
      </c>
      <c r="I57" s="4">
        <v>0</v>
      </c>
      <c r="J57" s="4">
        <v>0</v>
      </c>
      <c r="K57" s="4">
        <v>0</v>
      </c>
      <c r="L57" s="4">
        <v>0</v>
      </c>
      <c r="M57" s="4">
        <v>0</v>
      </c>
      <c r="N57" s="4">
        <v>0</v>
      </c>
      <c r="O57" s="4">
        <v>0</v>
      </c>
      <c r="P57" s="4">
        <v>0</v>
      </c>
      <c r="Q57" s="4">
        <v>0</v>
      </c>
      <c r="R57" s="4">
        <v>0</v>
      </c>
      <c r="S57" s="4">
        <v>0</v>
      </c>
      <c r="T57" s="4">
        <v>0</v>
      </c>
      <c r="U57" s="4">
        <v>0</v>
      </c>
      <c r="V57" s="4">
        <v>0</v>
      </c>
      <c r="W57" s="4">
        <v>0</v>
      </c>
      <c r="X57" s="4">
        <v>0</v>
      </c>
      <c r="Y57" s="4">
        <v>0</v>
      </c>
      <c r="Z57" s="4">
        <v>0</v>
      </c>
      <c r="AA57" s="4">
        <v>0</v>
      </c>
      <c r="AB57" s="4">
        <v>0</v>
      </c>
      <c r="AC57" s="4">
        <v>0</v>
      </c>
      <c r="AD57" s="4">
        <v>0</v>
      </c>
      <c r="AE57" s="4">
        <v>0</v>
      </c>
      <c r="AF57" s="4">
        <v>0</v>
      </c>
      <c r="AG57" s="4">
        <v>0</v>
      </c>
      <c r="AH57" s="4">
        <v>0</v>
      </c>
      <c r="AI57" s="4">
        <v>0</v>
      </c>
      <c r="AJ57" s="4">
        <v>0</v>
      </c>
      <c r="AK57" s="4">
        <v>0</v>
      </c>
      <c r="AL57" s="4">
        <v>0</v>
      </c>
      <c r="AM57" s="4">
        <v>0</v>
      </c>
      <c r="AN57" s="4">
        <v>0</v>
      </c>
      <c r="AO57" s="4">
        <v>0</v>
      </c>
      <c r="AP57" t="str">
        <f t="shared" si="0"/>
        <v>('E03', 0, 0, 0, 0, 0, 0, 0, 0, 0, 0, 0, 0, 0, 0, 0, 0, 0, 0, 0, 0, 0, 0, 0, 0, 0, 0, 0, 0, 0, 0, 0, 0, 0, 0, 0, 0, 0, 0, 0, 0),</v>
      </c>
    </row>
    <row r="58" spans="1:42" x14ac:dyDescent="0.2">
      <c r="A58" s="3" t="s">
        <v>104</v>
      </c>
      <c r="B58" s="3">
        <v>0</v>
      </c>
      <c r="C58" s="3">
        <v>0</v>
      </c>
      <c r="D58" s="3">
        <v>0</v>
      </c>
      <c r="E58" s="3">
        <v>0</v>
      </c>
      <c r="F58" s="3">
        <v>0</v>
      </c>
      <c r="G58" s="3">
        <v>0</v>
      </c>
      <c r="H58" s="3">
        <v>0</v>
      </c>
      <c r="I58" s="3">
        <v>0</v>
      </c>
      <c r="J58" s="3">
        <v>0</v>
      </c>
      <c r="K58" s="3">
        <v>0</v>
      </c>
      <c r="L58" s="3">
        <v>0</v>
      </c>
      <c r="M58" s="3">
        <v>0</v>
      </c>
      <c r="N58" s="3">
        <v>0</v>
      </c>
      <c r="O58" s="3">
        <v>0</v>
      </c>
      <c r="P58" s="3">
        <v>0</v>
      </c>
      <c r="Q58" s="3">
        <v>0</v>
      </c>
      <c r="R58" s="3">
        <v>0</v>
      </c>
      <c r="S58" s="3">
        <v>0</v>
      </c>
      <c r="T58" s="3">
        <v>0</v>
      </c>
      <c r="U58" s="3">
        <v>0</v>
      </c>
      <c r="V58" s="3">
        <v>0</v>
      </c>
      <c r="W58" s="3">
        <v>0</v>
      </c>
      <c r="X58" s="3">
        <v>0</v>
      </c>
      <c r="Y58" s="3">
        <v>0</v>
      </c>
      <c r="Z58" s="3">
        <v>0</v>
      </c>
      <c r="AA58" s="3">
        <v>0</v>
      </c>
      <c r="AB58" s="3">
        <v>0</v>
      </c>
      <c r="AC58" s="3">
        <v>0</v>
      </c>
      <c r="AD58" s="3">
        <v>0</v>
      </c>
      <c r="AE58" s="3">
        <v>0</v>
      </c>
      <c r="AF58" s="3">
        <v>0</v>
      </c>
      <c r="AG58" s="3">
        <v>0</v>
      </c>
      <c r="AH58" s="3">
        <v>0</v>
      </c>
      <c r="AI58" s="3">
        <v>0</v>
      </c>
      <c r="AJ58" s="3">
        <v>0</v>
      </c>
      <c r="AK58" s="3">
        <v>0</v>
      </c>
      <c r="AL58" s="3">
        <v>0</v>
      </c>
      <c r="AM58" s="3">
        <v>0</v>
      </c>
      <c r="AN58" s="3">
        <v>0</v>
      </c>
      <c r="AO58" s="3">
        <v>0</v>
      </c>
      <c r="AP58" t="str">
        <f t="shared" si="0"/>
        <v>('T01', 0, 0, 0, 0, 0, 0, 0, 0, 0, 0, 0, 0, 0, 0, 0, 0, 0, 0, 0, 0, 0, 0, 0, 0, 0, 0, 0, 0, 0, 0, 0, 0, 0, 0, 0, 0, 0, 0, 0, 0),</v>
      </c>
    </row>
    <row r="59" spans="1:42" x14ac:dyDescent="0.2">
      <c r="A59" s="4" t="s">
        <v>105</v>
      </c>
      <c r="B59" s="4">
        <v>0</v>
      </c>
      <c r="C59" s="4">
        <v>0</v>
      </c>
      <c r="D59" s="4">
        <v>0</v>
      </c>
      <c r="E59" s="4">
        <v>0</v>
      </c>
      <c r="F59" s="4">
        <v>0</v>
      </c>
      <c r="G59" s="4">
        <v>0</v>
      </c>
      <c r="H59" s="4">
        <v>0</v>
      </c>
      <c r="I59" s="4">
        <v>0</v>
      </c>
      <c r="J59" s="4">
        <v>0</v>
      </c>
      <c r="K59" s="4">
        <v>0</v>
      </c>
      <c r="L59" s="4">
        <v>0</v>
      </c>
      <c r="M59" s="4">
        <v>0</v>
      </c>
      <c r="N59" s="4">
        <v>0</v>
      </c>
      <c r="O59" s="4">
        <v>0</v>
      </c>
      <c r="P59" s="4">
        <v>0</v>
      </c>
      <c r="Q59" s="4">
        <v>0</v>
      </c>
      <c r="R59" s="4">
        <v>0</v>
      </c>
      <c r="S59" s="4">
        <v>0</v>
      </c>
      <c r="T59" s="4">
        <v>0</v>
      </c>
      <c r="U59" s="4">
        <v>0</v>
      </c>
      <c r="V59" s="4">
        <v>0</v>
      </c>
      <c r="W59" s="4">
        <v>0</v>
      </c>
      <c r="X59" s="4">
        <v>0</v>
      </c>
      <c r="Y59" s="4">
        <v>0</v>
      </c>
      <c r="Z59" s="4">
        <v>0</v>
      </c>
      <c r="AA59" s="4">
        <v>0</v>
      </c>
      <c r="AB59" s="4">
        <v>0</v>
      </c>
      <c r="AC59" s="4">
        <v>0</v>
      </c>
      <c r="AD59" s="4">
        <v>0</v>
      </c>
      <c r="AE59" s="4">
        <v>0</v>
      </c>
      <c r="AF59" s="4">
        <v>0</v>
      </c>
      <c r="AG59" s="4">
        <v>0</v>
      </c>
      <c r="AH59" s="4">
        <v>0</v>
      </c>
      <c r="AI59" s="4">
        <v>0</v>
      </c>
      <c r="AJ59" s="4">
        <v>0</v>
      </c>
      <c r="AK59" s="4">
        <v>0</v>
      </c>
      <c r="AL59" s="4">
        <v>0</v>
      </c>
      <c r="AM59" s="4">
        <v>0</v>
      </c>
      <c r="AN59" s="4">
        <v>0</v>
      </c>
      <c r="AO59" s="4">
        <v>0</v>
      </c>
      <c r="AP59" t="str">
        <f t="shared" si="0"/>
        <v>('G09', 0, 0, 0, 0, 0, 0, 0, 0, 0, 0, 0, 0, 0, 0, 0, 0, 0, 0, 0, 0, 0, 0, 0, 0, 0, 0, 0, 0, 0, 0, 0, 0, 0, 0, 0, 0, 0, 0, 0, 0),</v>
      </c>
    </row>
    <row r="60" spans="1:42" x14ac:dyDescent="0.2">
      <c r="A60" s="3" t="s">
        <v>106</v>
      </c>
      <c r="B60" s="3">
        <v>0</v>
      </c>
      <c r="C60" s="3">
        <v>0</v>
      </c>
      <c r="D60" s="3">
        <v>0</v>
      </c>
      <c r="E60" s="3">
        <v>0</v>
      </c>
      <c r="F60" s="3">
        <v>0</v>
      </c>
      <c r="G60" s="3">
        <v>0</v>
      </c>
      <c r="H60" s="3">
        <v>0</v>
      </c>
      <c r="I60" s="3">
        <v>0</v>
      </c>
      <c r="J60" s="3">
        <v>0</v>
      </c>
      <c r="K60" s="3">
        <v>0</v>
      </c>
      <c r="L60" s="3">
        <v>0</v>
      </c>
      <c r="M60" s="3">
        <v>0</v>
      </c>
      <c r="N60" s="3">
        <v>0</v>
      </c>
      <c r="O60" s="3">
        <v>0</v>
      </c>
      <c r="P60" s="3">
        <v>0</v>
      </c>
      <c r="Q60" s="3">
        <v>0</v>
      </c>
      <c r="R60" s="3">
        <v>0</v>
      </c>
      <c r="S60" s="3">
        <v>0</v>
      </c>
      <c r="T60" s="3">
        <v>0</v>
      </c>
      <c r="U60" s="3">
        <v>0</v>
      </c>
      <c r="V60" s="3">
        <v>0</v>
      </c>
      <c r="W60" s="3">
        <v>0</v>
      </c>
      <c r="X60" s="3">
        <v>0</v>
      </c>
      <c r="Y60" s="3">
        <v>0</v>
      </c>
      <c r="Z60" s="3">
        <v>0</v>
      </c>
      <c r="AA60" s="3">
        <v>0</v>
      </c>
      <c r="AB60" s="3">
        <v>0</v>
      </c>
      <c r="AC60" s="3">
        <v>0</v>
      </c>
      <c r="AD60" s="3">
        <v>0</v>
      </c>
      <c r="AE60" s="3">
        <v>0</v>
      </c>
      <c r="AF60" s="3">
        <v>0</v>
      </c>
      <c r="AG60" s="3">
        <v>0</v>
      </c>
      <c r="AH60" s="3">
        <v>0</v>
      </c>
      <c r="AI60" s="3">
        <v>0</v>
      </c>
      <c r="AJ60" s="3">
        <v>0</v>
      </c>
      <c r="AK60" s="3">
        <v>0</v>
      </c>
      <c r="AL60" s="3">
        <v>0</v>
      </c>
      <c r="AM60" s="3">
        <v>0</v>
      </c>
      <c r="AN60" s="3">
        <v>0</v>
      </c>
      <c r="AO60" s="3">
        <v>0</v>
      </c>
      <c r="AP60" t="str">
        <f t="shared" si="0"/>
        <v>('H17', 0, 0, 0, 0, 0, 0, 0, 0, 0, 0, 0, 0, 0, 0, 0, 0, 0, 0, 0, 0, 0, 0, 0, 0, 0, 0, 0, 0, 0, 0, 0, 0, 0, 0, 0, 0, 0, 0, 0, 0),</v>
      </c>
    </row>
    <row r="61" spans="1:42" x14ac:dyDescent="0.2">
      <c r="A61" s="4" t="s">
        <v>107</v>
      </c>
      <c r="B61" s="4">
        <v>6.1000000000000004E-3</v>
      </c>
      <c r="C61" s="4">
        <v>0.01</v>
      </c>
      <c r="D61" s="4">
        <v>0.21</v>
      </c>
      <c r="E61" s="4">
        <v>0.31</v>
      </c>
      <c r="F61" s="4">
        <v>1E-3</v>
      </c>
      <c r="G61" s="4">
        <v>4.0000000000000001E-3</v>
      </c>
      <c r="H61" s="4">
        <v>2.1000000000000001E-2</v>
      </c>
      <c r="I61" s="4">
        <v>3.3000000000000002E-2</v>
      </c>
      <c r="J61" s="4">
        <v>0.33</v>
      </c>
      <c r="K61" s="4">
        <v>0.77</v>
      </c>
      <c r="L61" s="4">
        <v>0.09</v>
      </c>
      <c r="M61" s="4">
        <v>0.17</v>
      </c>
      <c r="N61" s="4">
        <v>11.1</v>
      </c>
      <c r="O61" s="4">
        <v>11.9</v>
      </c>
      <c r="P61" s="4">
        <v>0.05</v>
      </c>
      <c r="Q61" s="4">
        <v>0.11</v>
      </c>
      <c r="R61" s="4">
        <v>0.01</v>
      </c>
      <c r="S61" s="4">
        <v>0.03</v>
      </c>
      <c r="T61" s="4">
        <v>0.11</v>
      </c>
      <c r="U61" s="4">
        <v>0.31</v>
      </c>
      <c r="V61" s="4">
        <v>2.1000000000000001E-2</v>
      </c>
      <c r="W61" s="4">
        <v>5.0999999999999997E-2</v>
      </c>
      <c r="X61" s="4">
        <v>0</v>
      </c>
      <c r="Y61" s="4">
        <v>0</v>
      </c>
      <c r="Z61" s="4">
        <v>8.9999999999999993E-3</v>
      </c>
      <c r="AA61" s="4">
        <v>1.7000000000000001E-2</v>
      </c>
      <c r="AB61" s="4">
        <v>2.0999999999999999E-3</v>
      </c>
      <c r="AC61" s="4">
        <v>6.1000000000000004E-3</v>
      </c>
      <c r="AD61" s="4">
        <v>5.1000000000000004E-3</v>
      </c>
      <c r="AE61" s="4">
        <v>9.1000000000000004E-3</v>
      </c>
      <c r="AF61" s="4">
        <v>1.11E-2</v>
      </c>
      <c r="AG61" s="4">
        <v>3.3300000000000003E-2</v>
      </c>
      <c r="AH61" s="4">
        <v>8.9999999999999998E-4</v>
      </c>
      <c r="AI61" s="4">
        <v>3.3E-3</v>
      </c>
      <c r="AJ61" s="4">
        <v>0</v>
      </c>
      <c r="AK61" s="4">
        <v>0</v>
      </c>
      <c r="AL61" s="4">
        <v>0.01</v>
      </c>
      <c r="AM61" s="4">
        <v>0.05</v>
      </c>
      <c r="AN61" s="4">
        <v>1E-3</v>
      </c>
      <c r="AO61" s="4">
        <v>6.0000000000000001E-3</v>
      </c>
      <c r="AP61" t="str">
        <f t="shared" si="0"/>
        <v>('IS2062E250BR', 0.0061, 0.01, 0.21, 0.31, 0.001, 0.004, 0.021, 0.033, 0.33, 0.77, 0.09, 0.17, 11.1, 11.9, 0.05, 0.11, 0.01, 0.03, 0.11, 0.31, 0.021, 0.051, 0, 0, 0.009, 0.017, 0.0021, 0.0061, 0.0051, 0.0091, 0.0111, 0.0333, 0.0009, 0.0033, 0, 0, 0.01, 0.05, 0.001, 0.006),</v>
      </c>
    </row>
    <row r="62" spans="1:42" x14ac:dyDescent="0.2">
      <c r="A62" s="3" t="s">
        <v>108</v>
      </c>
      <c r="B62" s="3">
        <v>0</v>
      </c>
      <c r="C62" s="3">
        <v>0</v>
      </c>
      <c r="D62" s="3">
        <v>0</v>
      </c>
      <c r="E62" s="3">
        <v>0</v>
      </c>
      <c r="F62" s="3">
        <v>0</v>
      </c>
      <c r="G62" s="3">
        <v>0</v>
      </c>
      <c r="H62" s="3">
        <v>0</v>
      </c>
      <c r="I62" s="3">
        <v>0</v>
      </c>
      <c r="J62" s="3">
        <v>0</v>
      </c>
      <c r="K62" s="3">
        <v>0</v>
      </c>
      <c r="L62" s="3">
        <v>0</v>
      </c>
      <c r="M62" s="3">
        <v>0</v>
      </c>
      <c r="N62" s="3">
        <v>0</v>
      </c>
      <c r="O62" s="3">
        <v>0</v>
      </c>
      <c r="P62" s="3">
        <v>0</v>
      </c>
      <c r="Q62" s="3">
        <v>0</v>
      </c>
      <c r="R62" s="3">
        <v>0</v>
      </c>
      <c r="S62" s="3">
        <v>0</v>
      </c>
      <c r="T62" s="3">
        <v>0</v>
      </c>
      <c r="U62" s="3">
        <v>0</v>
      </c>
      <c r="V62" s="3">
        <v>0</v>
      </c>
      <c r="W62" s="3">
        <v>0</v>
      </c>
      <c r="X62" s="3">
        <v>0</v>
      </c>
      <c r="Y62" s="3">
        <v>0</v>
      </c>
      <c r="Z62" s="3">
        <v>0</v>
      </c>
      <c r="AA62" s="3">
        <v>0</v>
      </c>
      <c r="AB62" s="3">
        <v>0</v>
      </c>
      <c r="AC62" s="3">
        <v>0</v>
      </c>
      <c r="AD62" s="3">
        <v>0</v>
      </c>
      <c r="AE62" s="3">
        <v>0</v>
      </c>
      <c r="AF62" s="3">
        <v>0</v>
      </c>
      <c r="AG62" s="3">
        <v>0</v>
      </c>
      <c r="AH62" s="3">
        <v>0</v>
      </c>
      <c r="AI62" s="3">
        <v>0</v>
      </c>
      <c r="AJ62" s="3">
        <v>0</v>
      </c>
      <c r="AK62" s="3">
        <v>0</v>
      </c>
      <c r="AL62" s="3">
        <v>0</v>
      </c>
      <c r="AM62" s="3">
        <v>0</v>
      </c>
      <c r="AN62" s="3">
        <v>0</v>
      </c>
      <c r="AO62" s="3">
        <v>0</v>
      </c>
      <c r="AP62" t="str">
        <f t="shared" si="0"/>
        <v>('C20', 0, 0, 0, 0, 0, 0, 0, 0, 0, 0, 0, 0, 0, 0, 0, 0, 0, 0, 0, 0, 0, 0, 0, 0, 0, 0, 0, 0, 0, 0, 0, 0, 0, 0, 0, 0, 0, 0, 0, 0),</v>
      </c>
    </row>
    <row r="63" spans="1:42" x14ac:dyDescent="0.2">
      <c r="A63" s="4" t="s">
        <v>109</v>
      </c>
      <c r="B63" s="4">
        <v>0</v>
      </c>
      <c r="C63" s="4">
        <v>0</v>
      </c>
      <c r="D63" s="4">
        <v>0</v>
      </c>
      <c r="E63" s="4">
        <v>0</v>
      </c>
      <c r="F63" s="4">
        <v>0</v>
      </c>
      <c r="G63" s="4">
        <v>0</v>
      </c>
      <c r="H63" s="4">
        <v>0</v>
      </c>
      <c r="I63" s="4">
        <v>0</v>
      </c>
      <c r="J63" s="4">
        <v>0</v>
      </c>
      <c r="K63" s="4">
        <v>0</v>
      </c>
      <c r="L63" s="4">
        <v>0</v>
      </c>
      <c r="M63" s="4">
        <v>0</v>
      </c>
      <c r="N63" s="4">
        <v>0</v>
      </c>
      <c r="O63" s="4">
        <v>0</v>
      </c>
      <c r="P63" s="4">
        <v>0</v>
      </c>
      <c r="Q63" s="4">
        <v>0</v>
      </c>
      <c r="R63" s="4">
        <v>0</v>
      </c>
      <c r="S63" s="4">
        <v>0</v>
      </c>
      <c r="T63" s="4">
        <v>0</v>
      </c>
      <c r="U63" s="4">
        <v>0</v>
      </c>
      <c r="V63" s="4">
        <v>0</v>
      </c>
      <c r="W63" s="4">
        <v>0</v>
      </c>
      <c r="X63" s="4">
        <v>0</v>
      </c>
      <c r="Y63" s="4">
        <v>0</v>
      </c>
      <c r="Z63" s="4">
        <v>0</v>
      </c>
      <c r="AA63" s="4">
        <v>0</v>
      </c>
      <c r="AB63" s="4">
        <v>0</v>
      </c>
      <c r="AC63" s="4">
        <v>0</v>
      </c>
      <c r="AD63" s="4">
        <v>0</v>
      </c>
      <c r="AE63" s="4">
        <v>0</v>
      </c>
      <c r="AF63" s="4">
        <v>0</v>
      </c>
      <c r="AG63" s="4">
        <v>0</v>
      </c>
      <c r="AH63" s="4">
        <v>0</v>
      </c>
      <c r="AI63" s="4">
        <v>0</v>
      </c>
      <c r="AJ63" s="4">
        <v>0</v>
      </c>
      <c r="AK63" s="4">
        <v>0</v>
      </c>
      <c r="AL63" s="4">
        <v>0</v>
      </c>
      <c r="AM63" s="4">
        <v>0</v>
      </c>
      <c r="AN63" s="4">
        <v>0</v>
      </c>
      <c r="AO63" s="4">
        <v>0</v>
      </c>
      <c r="AP63" t="str">
        <f t="shared" si="0"/>
        <v>('C41', 0, 0, 0, 0, 0, 0, 0, 0, 0, 0, 0, 0, 0, 0, 0, 0, 0, 0, 0, 0, 0, 0, 0, 0, 0, 0, 0, 0, 0, 0, 0, 0, 0, 0, 0, 0, 0, 0, 0, 0),</v>
      </c>
    </row>
    <row r="64" spans="1:42" x14ac:dyDescent="0.2">
      <c r="A64" s="3" t="s">
        <v>110</v>
      </c>
      <c r="B64" s="3">
        <v>0</v>
      </c>
      <c r="C64" s="3">
        <v>0</v>
      </c>
      <c r="D64" s="3">
        <v>0</v>
      </c>
      <c r="E64" s="3">
        <v>0</v>
      </c>
      <c r="F64" s="3">
        <v>0</v>
      </c>
      <c r="G64" s="3">
        <v>0</v>
      </c>
      <c r="H64" s="3">
        <v>0</v>
      </c>
      <c r="I64" s="3">
        <v>0</v>
      </c>
      <c r="J64" s="3">
        <v>0</v>
      </c>
      <c r="K64" s="3">
        <v>0</v>
      </c>
      <c r="L64" s="3">
        <v>0</v>
      </c>
      <c r="M64" s="3">
        <v>0</v>
      </c>
      <c r="N64" s="3">
        <v>0</v>
      </c>
      <c r="O64" s="3">
        <v>0</v>
      </c>
      <c r="P64" s="3">
        <v>0</v>
      </c>
      <c r="Q64" s="3">
        <v>0</v>
      </c>
      <c r="R64" s="3">
        <v>0</v>
      </c>
      <c r="S64" s="3">
        <v>0</v>
      </c>
      <c r="T64" s="3">
        <v>0</v>
      </c>
      <c r="U64" s="3">
        <v>0</v>
      </c>
      <c r="V64" s="3">
        <v>0</v>
      </c>
      <c r="W64" s="3">
        <v>0</v>
      </c>
      <c r="X64" s="3">
        <v>0</v>
      </c>
      <c r="Y64" s="3">
        <v>0</v>
      </c>
      <c r="Z64" s="3">
        <v>0</v>
      </c>
      <c r="AA64" s="3">
        <v>0</v>
      </c>
      <c r="AB64" s="3">
        <v>0</v>
      </c>
      <c r="AC64" s="3">
        <v>0</v>
      </c>
      <c r="AD64" s="3">
        <v>0</v>
      </c>
      <c r="AE64" s="3">
        <v>0</v>
      </c>
      <c r="AF64" s="3">
        <v>0</v>
      </c>
      <c r="AG64" s="3">
        <v>0</v>
      </c>
      <c r="AH64" s="3">
        <v>0</v>
      </c>
      <c r="AI64" s="3">
        <v>0</v>
      </c>
      <c r="AJ64" s="3">
        <v>0</v>
      </c>
      <c r="AK64" s="3">
        <v>0</v>
      </c>
      <c r="AL64" s="3">
        <v>0</v>
      </c>
      <c r="AM64" s="3">
        <v>0</v>
      </c>
      <c r="AN64" s="3">
        <v>0</v>
      </c>
      <c r="AO64" s="3">
        <v>0</v>
      </c>
      <c r="AP64" t="str">
        <f t="shared" si="0"/>
        <v>('JD1', 0, 0, 0, 0, 0, 0, 0, 0, 0, 0, 0, 0, 0, 0, 0, 0, 0, 0, 0, 0, 0, 0, 0, 0, 0, 0, 0, 0, 0, 0, 0, 0, 0, 0, 0, 0, 0, 0, 0, 0),</v>
      </c>
    </row>
    <row r="65" spans="1:42" x14ac:dyDescent="0.2">
      <c r="A65" s="4" t="s">
        <v>111</v>
      </c>
      <c r="B65" s="4">
        <v>0</v>
      </c>
      <c r="C65" s="4">
        <v>0</v>
      </c>
      <c r="D65" s="4">
        <v>0</v>
      </c>
      <c r="E65" s="4">
        <v>0</v>
      </c>
      <c r="F65" s="4">
        <v>0</v>
      </c>
      <c r="G65" s="4">
        <v>0</v>
      </c>
      <c r="H65" s="4">
        <v>0</v>
      </c>
      <c r="I65" s="4">
        <v>0</v>
      </c>
      <c r="J65" s="4">
        <v>0</v>
      </c>
      <c r="K65" s="4">
        <v>0</v>
      </c>
      <c r="L65" s="4">
        <v>0</v>
      </c>
      <c r="M65" s="4">
        <v>0</v>
      </c>
      <c r="N65" s="4">
        <v>0</v>
      </c>
      <c r="O65" s="4">
        <v>0</v>
      </c>
      <c r="P65" s="4">
        <v>0</v>
      </c>
      <c r="Q65" s="4">
        <v>0</v>
      </c>
      <c r="R65" s="4">
        <v>0</v>
      </c>
      <c r="S65" s="4">
        <v>0</v>
      </c>
      <c r="T65" s="4">
        <v>0</v>
      </c>
      <c r="U65" s="4">
        <v>0</v>
      </c>
      <c r="V65" s="4">
        <v>0</v>
      </c>
      <c r="W65" s="4">
        <v>0</v>
      </c>
      <c r="X65" s="4">
        <v>0</v>
      </c>
      <c r="Y65" s="4">
        <v>0</v>
      </c>
      <c r="Z65" s="4">
        <v>0</v>
      </c>
      <c r="AA65" s="4">
        <v>0</v>
      </c>
      <c r="AB65" s="4">
        <v>0</v>
      </c>
      <c r="AC65" s="4">
        <v>0</v>
      </c>
      <c r="AD65" s="4">
        <v>0</v>
      </c>
      <c r="AE65" s="4">
        <v>0</v>
      </c>
      <c r="AF65" s="4">
        <v>0</v>
      </c>
      <c r="AG65" s="4">
        <v>0</v>
      </c>
      <c r="AH65" s="4">
        <v>0</v>
      </c>
      <c r="AI65" s="4">
        <v>0</v>
      </c>
      <c r="AJ65" s="4">
        <v>0</v>
      </c>
      <c r="AK65" s="4">
        <v>0</v>
      </c>
      <c r="AL65" s="4">
        <v>0</v>
      </c>
      <c r="AM65" s="4">
        <v>0</v>
      </c>
      <c r="AN65" s="4">
        <v>0</v>
      </c>
      <c r="AO65" s="4">
        <v>0</v>
      </c>
      <c r="AP65" t="str">
        <f t="shared" si="0"/>
        <v>('X03', 0, 0, 0, 0, 0, 0, 0, 0, 0, 0, 0, 0, 0, 0, 0, 0, 0, 0, 0, 0, 0, 0, 0, 0, 0, 0, 0, 0, 0, 0, 0, 0, 0, 0, 0, 0, 0, 0, 0, 0),</v>
      </c>
    </row>
    <row r="66" spans="1:42" x14ac:dyDescent="0.2">
      <c r="A66" s="3" t="s">
        <v>112</v>
      </c>
      <c r="B66" s="3">
        <v>8.9999999999999993E-3</v>
      </c>
      <c r="C66" s="3">
        <v>1.2999999999999999E-2</v>
      </c>
      <c r="D66" s="3">
        <v>1.71</v>
      </c>
      <c r="E66" s="3">
        <v>1.8</v>
      </c>
      <c r="F66" s="3">
        <v>1E-3</v>
      </c>
      <c r="G66" s="3">
        <v>4.0000000000000001E-3</v>
      </c>
      <c r="H66" s="3">
        <v>3.5999999999999997E-2</v>
      </c>
      <c r="I66" s="3">
        <v>4.3999999999999997E-2</v>
      </c>
      <c r="J66" s="3">
        <v>0.25</v>
      </c>
      <c r="K66" s="3">
        <v>0.36</v>
      </c>
      <c r="L66" s="3">
        <v>10.039999999999999</v>
      </c>
      <c r="M66" s="3">
        <v>10.08</v>
      </c>
      <c r="N66" s="3">
        <v>16.05</v>
      </c>
      <c r="O66" s="3">
        <v>16.54</v>
      </c>
      <c r="P66" s="3">
        <v>0.26</v>
      </c>
      <c r="Q66" s="3">
        <v>0.46</v>
      </c>
      <c r="R66" s="3">
        <v>2.0299999999999998</v>
      </c>
      <c r="S66" s="3">
        <v>2.0699999999999998</v>
      </c>
      <c r="T66" s="3">
        <v>0.115</v>
      </c>
      <c r="U66" s="3">
        <v>0.16</v>
      </c>
      <c r="V66" s="3">
        <v>0</v>
      </c>
      <c r="W66" s="3">
        <v>7.4999999999999997E-2</v>
      </c>
      <c r="X66" s="3">
        <v>0</v>
      </c>
      <c r="Y66" s="3">
        <v>6.9</v>
      </c>
      <c r="Z66" s="3">
        <v>8.5000000000000006E-3</v>
      </c>
      <c r="AA66" s="3">
        <v>1.35E-2</v>
      </c>
      <c r="AB66" s="3">
        <v>5.3E-3</v>
      </c>
      <c r="AC66" s="3">
        <v>7.1000000000000004E-3</v>
      </c>
      <c r="AD66" s="3">
        <v>7.7000000000000002E-3</v>
      </c>
      <c r="AE66" s="3">
        <v>1.43E-2</v>
      </c>
      <c r="AF66" s="3">
        <v>0.01</v>
      </c>
      <c r="AG66" s="3">
        <v>3.6999999999999998E-2</v>
      </c>
      <c r="AH66" s="3">
        <v>8.0000000000000004E-4</v>
      </c>
      <c r="AI66" s="3">
        <v>1.8E-3</v>
      </c>
      <c r="AJ66" s="3">
        <v>1.2999999999999999E-3</v>
      </c>
      <c r="AK66" s="3">
        <v>2E-3</v>
      </c>
      <c r="AL66" s="3">
        <v>0.21</v>
      </c>
      <c r="AM66" s="3">
        <v>0.28999999999999998</v>
      </c>
      <c r="AN66" s="3">
        <v>0</v>
      </c>
      <c r="AO66" s="3">
        <v>3.6999999999999998E-2</v>
      </c>
      <c r="AP66" t="str">
        <f t="shared" si="0"/>
        <v>('316Ti', 0.009, 0.013, 1.71, 1.8, 0.001, 0.004, 0.036, 0.044, 0.25, 0.36, 10.04, 10.08, 16.05, 16.54, 0.26, 0.46, 2.03, 2.07, 0.115, 0.16, 0, 0.075, 0, 6.9, 0.0085, 0.0135, 0.0053, 0.0071, 0.0077, 0.0143, 0.01, 0.037, 0.0008, 0.0018, 0.0013, 0.002, 0.21, 0.29, 0, 0.037),</v>
      </c>
    </row>
    <row r="67" spans="1:42" x14ac:dyDescent="0.2">
      <c r="A67" s="4" t="s">
        <v>113</v>
      </c>
      <c r="B67" s="4">
        <v>4.4999999999999998E-2</v>
      </c>
      <c r="C67" s="4">
        <v>5.2999999999999999E-2</v>
      </c>
      <c r="D67" s="4">
        <v>0.15</v>
      </c>
      <c r="E67" s="4">
        <v>0.73</v>
      </c>
      <c r="F67" s="4">
        <v>1E-3</v>
      </c>
      <c r="G67" s="4">
        <v>1E-3</v>
      </c>
      <c r="H67" s="4">
        <v>2.1999999999999999E-2</v>
      </c>
      <c r="I67" s="4">
        <v>0.03</v>
      </c>
      <c r="J67" s="4">
        <v>0.3</v>
      </c>
      <c r="K67" s="4">
        <v>0.59</v>
      </c>
      <c r="L67" s="4">
        <v>19.100000000000001</v>
      </c>
      <c r="M67" s="4">
        <v>19.18</v>
      </c>
      <c r="N67" s="4">
        <v>25.04</v>
      </c>
      <c r="O67" s="4">
        <v>25.91</v>
      </c>
      <c r="P67" s="4">
        <v>0.02</v>
      </c>
      <c r="Q67" s="4">
        <v>0.1</v>
      </c>
      <c r="R67" s="4">
        <v>0.01</v>
      </c>
      <c r="S67" s="4">
        <v>0.08</v>
      </c>
      <c r="T67" s="4">
        <v>2E-3</v>
      </c>
      <c r="U67" s="4">
        <v>6.0000000000000001E-3</v>
      </c>
      <c r="V67" s="4">
        <v>0</v>
      </c>
      <c r="W67" s="4">
        <v>6.7000000000000004E-2</v>
      </c>
      <c r="X67" s="4">
        <v>0</v>
      </c>
      <c r="Y67" s="4">
        <v>7</v>
      </c>
      <c r="Z67" s="4">
        <v>1.2999999999999999E-2</v>
      </c>
      <c r="AA67" s="4">
        <v>2.35E-2</v>
      </c>
      <c r="AB67" s="4">
        <v>1.6999999999999999E-3</v>
      </c>
      <c r="AC67" s="4">
        <v>6.8999999999999999E-3</v>
      </c>
      <c r="AD67" s="4">
        <v>1.6000000000000001E-3</v>
      </c>
      <c r="AE67" s="4">
        <v>5.0000000000000001E-3</v>
      </c>
      <c r="AF67" s="4">
        <v>1.6400000000000001E-2</v>
      </c>
      <c r="AG67" s="4">
        <v>3.2300000000000002E-2</v>
      </c>
      <c r="AH67" s="4">
        <v>2.0000000000000001E-4</v>
      </c>
      <c r="AI67" s="4">
        <v>3.5999999999999999E-3</v>
      </c>
      <c r="AJ67" s="4">
        <v>2E-3</v>
      </c>
      <c r="AK67" s="4">
        <v>7.1000000000000004E-3</v>
      </c>
      <c r="AL67" s="4">
        <v>0.21</v>
      </c>
      <c r="AM67" s="4">
        <v>0.42</v>
      </c>
      <c r="AN67" s="4">
        <v>0</v>
      </c>
      <c r="AO67" s="4">
        <v>0.185</v>
      </c>
      <c r="AP67" t="str">
        <f t="shared" ref="AP67:AP130" si="1">"('"&amp;A67&amp;"', "&amp;_xlfn.TEXTJOIN(", ", TRUE, B67:AO67)&amp;"),"</f>
        <v>('310S', 0.045, 0.053, 0.15, 0.73, 0.001, 0.001, 0.022, 0.03, 0.3, 0.59, 19.1, 19.18, 25.04, 25.91, 0.02, 0.1, 0.01, 0.08, 0.002, 0.006, 0, 0.067, 0, 7, 0.013, 0.0235, 0.0017, 0.0069, 0.0016, 0.005, 0.0164, 0.0323, 0.0002, 0.0036, 0.002, 0.0071, 0.21, 0.42, 0, 0.185),</v>
      </c>
    </row>
    <row r="68" spans="1:42" x14ac:dyDescent="0.2">
      <c r="A68" s="3" t="s">
        <v>114</v>
      </c>
      <c r="B68" s="3">
        <v>0.01</v>
      </c>
      <c r="C68" s="3">
        <v>1.2999999999999999E-2</v>
      </c>
      <c r="D68" s="3">
        <v>1.7</v>
      </c>
      <c r="E68" s="3">
        <v>1.95</v>
      </c>
      <c r="F68" s="3">
        <v>1E-3</v>
      </c>
      <c r="G68" s="3">
        <v>5.0000000000000001E-3</v>
      </c>
      <c r="H68" s="3">
        <v>3.5999999999999997E-2</v>
      </c>
      <c r="I68" s="3">
        <v>4.3999999999999997E-2</v>
      </c>
      <c r="J68" s="3">
        <v>0.2</v>
      </c>
      <c r="K68" s="3">
        <v>0.47</v>
      </c>
      <c r="L68" s="3">
        <v>10.55</v>
      </c>
      <c r="M68" s="3">
        <v>10.6</v>
      </c>
      <c r="N68" s="3">
        <v>16.55</v>
      </c>
      <c r="O68" s="3">
        <v>16.75</v>
      </c>
      <c r="P68" s="3">
        <v>0.1</v>
      </c>
      <c r="Q68" s="3">
        <v>0.45</v>
      </c>
      <c r="R68" s="3">
        <v>2.0299999999999998</v>
      </c>
      <c r="S68" s="3">
        <v>2.08</v>
      </c>
      <c r="T68" s="3">
        <v>0.122</v>
      </c>
      <c r="U68" s="3">
        <v>0.18</v>
      </c>
      <c r="V68" s="3">
        <v>0</v>
      </c>
      <c r="W68" s="3">
        <v>7.3999999999999996E-2</v>
      </c>
      <c r="X68" s="3">
        <v>0</v>
      </c>
      <c r="Y68" s="3">
        <v>6.9</v>
      </c>
      <c r="Z68" s="3">
        <v>1.09E-2</v>
      </c>
      <c r="AA68" s="3">
        <v>1.2999999999999999E-2</v>
      </c>
      <c r="AB68" s="3">
        <v>5.0000000000000001E-3</v>
      </c>
      <c r="AC68" s="3">
        <v>7.7999999999999996E-3</v>
      </c>
      <c r="AD68" s="3">
        <v>5.0000000000000001E-3</v>
      </c>
      <c r="AE68" s="3">
        <v>1.61E-2</v>
      </c>
      <c r="AF68" s="3">
        <v>0.01</v>
      </c>
      <c r="AG68" s="3">
        <v>0.05</v>
      </c>
      <c r="AH68" s="3">
        <v>8.0000000000000004E-4</v>
      </c>
      <c r="AI68" s="3">
        <v>1.8E-3</v>
      </c>
      <c r="AJ68" s="3">
        <v>1E-3</v>
      </c>
      <c r="AK68" s="3">
        <v>2E-3</v>
      </c>
      <c r="AL68" s="3">
        <v>0.22</v>
      </c>
      <c r="AM68" s="3">
        <v>0.3</v>
      </c>
      <c r="AN68" s="3">
        <v>0</v>
      </c>
      <c r="AO68" s="3">
        <v>4.9000000000000002E-2</v>
      </c>
      <c r="AP68" t="str">
        <f t="shared" si="1"/>
        <v>('EN1.4571', 0.01, 0.013, 1.7, 1.95, 0.001, 0.005, 0.036, 0.044, 0.2, 0.47, 10.55, 10.6, 16.55, 16.75, 0.1, 0.45, 2.03, 2.08, 0.122, 0.18, 0, 0.074, 0, 6.9, 0.0109, 0.013, 0.005, 0.0078, 0.005, 0.0161, 0.01, 0.05, 0.0008, 0.0018, 0.001, 0.002, 0.22, 0.3, 0, 0.049),</v>
      </c>
    </row>
    <row r="69" spans="1:42" x14ac:dyDescent="0.2">
      <c r="A69" s="4" t="s">
        <v>115</v>
      </c>
      <c r="B69" s="4">
        <v>1.4999999999999999E-2</v>
      </c>
      <c r="C69" s="4">
        <v>2.4E-2</v>
      </c>
      <c r="D69" s="4">
        <v>0.84</v>
      </c>
      <c r="E69" s="4">
        <v>1.38</v>
      </c>
      <c r="F69" s="4">
        <v>4.0000000000000001E-3</v>
      </c>
      <c r="G69" s="4">
        <v>5.0000000000000001E-3</v>
      </c>
      <c r="H69" s="4">
        <v>0.03</v>
      </c>
      <c r="I69" s="4">
        <v>3.5000000000000003E-2</v>
      </c>
      <c r="J69" s="4">
        <v>0.15</v>
      </c>
      <c r="K69" s="4">
        <v>0.45</v>
      </c>
      <c r="L69" s="4">
        <v>0.32</v>
      </c>
      <c r="M69" s="4">
        <v>0.42</v>
      </c>
      <c r="N69" s="4">
        <v>11.15</v>
      </c>
      <c r="O69" s="4">
        <v>11.35</v>
      </c>
      <c r="P69" s="4">
        <v>0.05</v>
      </c>
      <c r="Q69" s="4">
        <v>0.15</v>
      </c>
      <c r="R69" s="4">
        <v>0.02</v>
      </c>
      <c r="S69" s="4">
        <v>0.03</v>
      </c>
      <c r="T69" s="4">
        <v>1E-3</v>
      </c>
      <c r="U69" s="4">
        <v>3.0000000000000001E-3</v>
      </c>
      <c r="V69" s="4">
        <v>2.5999999999999999E-2</v>
      </c>
      <c r="W69" s="4">
        <v>3.4000000000000002E-2</v>
      </c>
      <c r="X69" s="4">
        <v>0</v>
      </c>
      <c r="Y69" s="4">
        <v>4</v>
      </c>
      <c r="Z69" s="4">
        <v>1.4800000000000001E-2</v>
      </c>
      <c r="AA69" s="4">
        <v>2.2200000000000001E-2</v>
      </c>
      <c r="AB69" s="4">
        <v>1.6000000000000001E-3</v>
      </c>
      <c r="AC69" s="4">
        <v>3.3E-3</v>
      </c>
      <c r="AD69" s="4">
        <v>2.2000000000000001E-3</v>
      </c>
      <c r="AE69" s="4">
        <v>5.4000000000000003E-3</v>
      </c>
      <c r="AF69" s="4">
        <v>1.4E-3</v>
      </c>
      <c r="AG69" s="4">
        <v>4.3E-3</v>
      </c>
      <c r="AH69" s="4">
        <v>5.0000000000000001E-4</v>
      </c>
      <c r="AI69" s="4">
        <v>1.4E-3</v>
      </c>
      <c r="AJ69" s="4">
        <v>1.1000000000000001E-3</v>
      </c>
      <c r="AK69" s="4">
        <v>3.0000000000000001E-3</v>
      </c>
      <c r="AL69" s="4">
        <v>0.04</v>
      </c>
      <c r="AM69" s="4">
        <v>0.04</v>
      </c>
      <c r="AN69" s="4">
        <v>2E-3</v>
      </c>
      <c r="AO69" s="4">
        <v>5.0000000000000001E-3</v>
      </c>
      <c r="AP69" t="str">
        <f t="shared" si="1"/>
        <v>('EN1.4003HD', 0.015, 0.024, 0.84, 1.38, 0.004, 0.005, 0.03, 0.035, 0.15, 0.45, 0.32, 0.42, 11.15, 11.35, 0.05, 0.15, 0.02, 0.03, 0.001, 0.003, 0.026, 0.034, 0, 4, 0.0148, 0.0222, 0.0016, 0.0033, 0.0022, 0.0054, 0.0014, 0.0043, 0.0005, 0.0014, 0.0011, 0.003, 0.04, 0.04, 0.002, 0.005),</v>
      </c>
    </row>
    <row r="70" spans="1:42" x14ac:dyDescent="0.2">
      <c r="A70" s="3" t="s">
        <v>116</v>
      </c>
      <c r="B70" s="3">
        <v>1.4999999999999999E-2</v>
      </c>
      <c r="C70" s="3">
        <v>2.3E-2</v>
      </c>
      <c r="D70" s="3">
        <v>1.2</v>
      </c>
      <c r="E70" s="3">
        <v>1.86</v>
      </c>
      <c r="F70" s="3">
        <v>1E-3</v>
      </c>
      <c r="G70" s="3">
        <v>6.0000000000000001E-3</v>
      </c>
      <c r="H70" s="3">
        <v>3.5000000000000003E-2</v>
      </c>
      <c r="I70" s="3">
        <v>4.3999999999999997E-2</v>
      </c>
      <c r="J70" s="3">
        <v>0.2</v>
      </c>
      <c r="K70" s="3">
        <v>0.46</v>
      </c>
      <c r="L70" s="3">
        <v>9.02</v>
      </c>
      <c r="M70" s="3">
        <v>9.09</v>
      </c>
      <c r="N70" s="3">
        <v>17.05</v>
      </c>
      <c r="O70" s="3">
        <v>17.399999999999999</v>
      </c>
      <c r="P70" s="3">
        <v>0.22</v>
      </c>
      <c r="Q70" s="3">
        <v>0.5</v>
      </c>
      <c r="R70" s="3">
        <v>0.1</v>
      </c>
      <c r="S70" s="3">
        <v>0.3</v>
      </c>
      <c r="T70" s="3">
        <v>0.12</v>
      </c>
      <c r="U70" s="3">
        <v>0.22</v>
      </c>
      <c r="V70" s="3">
        <v>0</v>
      </c>
      <c r="W70" s="3">
        <v>0.08</v>
      </c>
      <c r="X70" s="3">
        <v>0</v>
      </c>
      <c r="Y70" s="3">
        <v>7</v>
      </c>
      <c r="Z70" s="3">
        <v>1.0999999999999999E-2</v>
      </c>
      <c r="AA70" s="3">
        <v>1.6500000000000001E-2</v>
      </c>
      <c r="AB70" s="3">
        <v>4.0000000000000001E-3</v>
      </c>
      <c r="AC70" s="3">
        <v>7.0000000000000001E-3</v>
      </c>
      <c r="AD70" s="3">
        <v>6.7999999999999996E-3</v>
      </c>
      <c r="AE70" s="3">
        <v>1.89E-2</v>
      </c>
      <c r="AF70" s="3">
        <v>0.01</v>
      </c>
      <c r="AG70" s="3">
        <v>0.05</v>
      </c>
      <c r="AH70" s="3">
        <v>5.0000000000000001E-4</v>
      </c>
      <c r="AI70" s="3">
        <v>1.8E-3</v>
      </c>
      <c r="AJ70" s="3">
        <v>2.0000000000000001E-4</v>
      </c>
      <c r="AK70" s="3">
        <v>8.0000000000000004E-4</v>
      </c>
      <c r="AL70" s="3">
        <v>0.19</v>
      </c>
      <c r="AM70" s="3">
        <v>0.28000000000000003</v>
      </c>
      <c r="AN70" s="3">
        <v>0</v>
      </c>
      <c r="AO70" s="3">
        <v>1.6E-2</v>
      </c>
      <c r="AP70" t="str">
        <f t="shared" si="1"/>
        <v>('EN1.4541', 0.015, 0.023, 1.2, 1.86, 0.001, 0.006, 0.035, 0.044, 0.2, 0.46, 9.02, 9.09, 17.05, 17.4, 0.22, 0.5, 0.1, 0.3, 0.12, 0.22, 0, 0.08, 0, 7, 0.011, 0.0165, 0.004, 0.007, 0.0068, 0.0189, 0.01, 0.05, 0.0005, 0.0018, 0.0002, 0.0008, 0.19, 0.28, 0, 0.016),</v>
      </c>
    </row>
    <row r="71" spans="1:42" x14ac:dyDescent="0.2">
      <c r="A71" s="4" t="s">
        <v>117</v>
      </c>
      <c r="B71" s="4">
        <v>8.9999999999999993E-3</v>
      </c>
      <c r="C71" s="4">
        <v>0.11899999999999999</v>
      </c>
      <c r="D71" s="4">
        <v>0.33</v>
      </c>
      <c r="E71" s="4">
        <v>1.9</v>
      </c>
      <c r="F71" s="4">
        <v>1E-3</v>
      </c>
      <c r="G71" s="4">
        <v>8.0000000000000002E-3</v>
      </c>
      <c r="H71" s="4">
        <v>2.1999999999999999E-2</v>
      </c>
      <c r="I71" s="4">
        <v>4.4999999999999998E-2</v>
      </c>
      <c r="J71" s="4">
        <v>0.18</v>
      </c>
      <c r="K71" s="4">
        <v>0.69</v>
      </c>
      <c r="L71" s="4">
        <v>6.31</v>
      </c>
      <c r="M71" s="4">
        <v>19.18</v>
      </c>
      <c r="N71" s="4">
        <v>16.03</v>
      </c>
      <c r="O71" s="4">
        <v>25.55</v>
      </c>
      <c r="P71" s="4">
        <v>0.01</v>
      </c>
      <c r="Q71" s="4">
        <v>0.7</v>
      </c>
      <c r="R71" s="4">
        <v>0.01</v>
      </c>
      <c r="S71" s="4">
        <v>2.15</v>
      </c>
      <c r="T71" s="4">
        <v>1E-3</v>
      </c>
      <c r="U71" s="4">
        <v>0.23</v>
      </c>
      <c r="V71" s="4">
        <v>7.1000000000000004E-3</v>
      </c>
      <c r="W71" s="4">
        <v>0.13100000000000001</v>
      </c>
      <c r="X71" s="4">
        <v>0</v>
      </c>
      <c r="Y71" s="4">
        <v>7.6</v>
      </c>
      <c r="Z71" s="4">
        <v>1.03E-2</v>
      </c>
      <c r="AA71" s="4">
        <v>0.14249999999999999</v>
      </c>
      <c r="AB71" s="4">
        <v>1.5E-3</v>
      </c>
      <c r="AC71" s="4">
        <v>8.0000000000000002E-3</v>
      </c>
      <c r="AD71" s="4">
        <v>1E-3</v>
      </c>
      <c r="AE71" s="4">
        <v>2.5000000000000001E-2</v>
      </c>
      <c r="AF71" s="4">
        <v>1E-3</v>
      </c>
      <c r="AG71" s="4">
        <v>6.5000000000000002E-2</v>
      </c>
      <c r="AH71" s="4">
        <v>2.0000000000000001E-4</v>
      </c>
      <c r="AI71" s="4">
        <v>3.5999999999999999E-3</v>
      </c>
      <c r="AJ71" s="4">
        <v>1E-4</v>
      </c>
      <c r="AK71" s="4">
        <v>4.1999999999999997E-3</v>
      </c>
      <c r="AL71" s="4">
        <v>0.15</v>
      </c>
      <c r="AM71" s="4">
        <v>0.42</v>
      </c>
      <c r="AN71" s="4">
        <v>1E-3</v>
      </c>
      <c r="AO71" s="4">
        <v>0.185</v>
      </c>
      <c r="AP71" t="str">
        <f t="shared" si="1"/>
        <v>('RB300', 0.009, 0.119, 0.33, 1.9, 0.001, 0.008, 0.022, 0.045, 0.18, 0.69, 6.31, 19.18, 16.03, 25.55, 0.01, 0.7, 0.01, 2.15, 0.001, 0.23, 0.0071, 0.131, 0, 7.6, 0.0103, 0.1425, 0.0015, 0.008, 0.001, 0.025, 0.001, 0.065, 0.0002, 0.0036, 0.0001, 0.0042, 0.15, 0.42, 0.001, 0.185),</v>
      </c>
    </row>
    <row r="72" spans="1:42" x14ac:dyDescent="0.2">
      <c r="A72" s="3" t="s">
        <v>118</v>
      </c>
      <c r="B72" s="3">
        <v>0</v>
      </c>
      <c r="C72" s="3">
        <v>0</v>
      </c>
      <c r="D72" s="3">
        <v>0</v>
      </c>
      <c r="E72" s="3">
        <v>0</v>
      </c>
      <c r="F72" s="3">
        <v>0</v>
      </c>
      <c r="G72" s="3">
        <v>0</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c r="Z72" s="3">
        <v>0</v>
      </c>
      <c r="AA72" s="3">
        <v>0</v>
      </c>
      <c r="AB72" s="3">
        <v>0</v>
      </c>
      <c r="AC72" s="3">
        <v>0</v>
      </c>
      <c r="AD72" s="3">
        <v>0</v>
      </c>
      <c r="AE72" s="3">
        <v>0</v>
      </c>
      <c r="AF72" s="3">
        <v>0</v>
      </c>
      <c r="AG72" s="3">
        <v>0</v>
      </c>
      <c r="AH72" s="3">
        <v>0</v>
      </c>
      <c r="AI72" s="3">
        <v>0</v>
      </c>
      <c r="AJ72" s="3">
        <v>0</v>
      </c>
      <c r="AK72" s="3">
        <v>0</v>
      </c>
      <c r="AL72" s="3">
        <v>0</v>
      </c>
      <c r="AM72" s="3">
        <v>0</v>
      </c>
      <c r="AN72" s="3">
        <v>0</v>
      </c>
      <c r="AO72" s="3">
        <v>0</v>
      </c>
      <c r="AP72" t="str">
        <f t="shared" si="1"/>
        <v>('AISI446', 0, 0, 0, 0, 0, 0, 0, 0, 0, 0, 0, 0, 0, 0, 0, 0, 0, 0, 0, 0, 0, 0, 0, 0, 0, 0, 0, 0, 0, 0, 0, 0, 0, 0, 0, 0, 0, 0, 0, 0),</v>
      </c>
    </row>
    <row r="73" spans="1:42" x14ac:dyDescent="0.2">
      <c r="A73" s="4">
        <v>201</v>
      </c>
      <c r="B73" s="4">
        <v>7.4999999999999997E-2</v>
      </c>
      <c r="C73" s="4">
        <v>9.5000000000000001E-2</v>
      </c>
      <c r="D73" s="4">
        <v>6.5</v>
      </c>
      <c r="E73" s="4">
        <v>7.6</v>
      </c>
      <c r="F73" s="4">
        <v>0</v>
      </c>
      <c r="G73" s="4">
        <v>0.01</v>
      </c>
      <c r="H73" s="4">
        <v>1.0999999999999999E-2</v>
      </c>
      <c r="I73" s="4">
        <v>0.05</v>
      </c>
      <c r="J73" s="4">
        <v>0.2</v>
      </c>
      <c r="K73" s="4">
        <v>0.4</v>
      </c>
      <c r="L73" s="4">
        <v>3.5</v>
      </c>
      <c r="M73" s="4">
        <v>4.4000000000000004</v>
      </c>
      <c r="N73" s="4">
        <v>16.100000000000001</v>
      </c>
      <c r="O73" s="4">
        <v>16.5</v>
      </c>
      <c r="P73" s="4">
        <v>0.1</v>
      </c>
      <c r="Q73" s="4">
        <v>0.5</v>
      </c>
      <c r="R73" s="4">
        <v>0.05</v>
      </c>
      <c r="S73" s="4">
        <v>0.13</v>
      </c>
      <c r="T73" s="4">
        <v>0</v>
      </c>
      <c r="U73" s="4">
        <v>6.0000000000000001E-3</v>
      </c>
      <c r="V73" s="4">
        <v>0</v>
      </c>
      <c r="W73" s="4">
        <v>0.05</v>
      </c>
      <c r="X73" s="4">
        <v>0</v>
      </c>
      <c r="Y73" s="4">
        <v>7.5</v>
      </c>
      <c r="Z73" s="4">
        <v>0.13</v>
      </c>
      <c r="AA73" s="4">
        <v>0.154</v>
      </c>
      <c r="AB73" s="4">
        <v>3.0000000000000001E-3</v>
      </c>
      <c r="AC73" s="4">
        <v>6.0000000000000001E-3</v>
      </c>
      <c r="AD73" s="4">
        <v>4.0000000000000001E-3</v>
      </c>
      <c r="AE73" s="4">
        <v>0.01</v>
      </c>
      <c r="AF73" s="4">
        <v>3.0000000000000001E-3</v>
      </c>
      <c r="AG73" s="4">
        <v>5.0000000000000001E-3</v>
      </c>
      <c r="AH73" s="4">
        <v>4.0000000000000002E-4</v>
      </c>
      <c r="AI73" s="4">
        <v>1.8E-3</v>
      </c>
      <c r="AJ73" s="4">
        <v>5.9999999999999995E-4</v>
      </c>
      <c r="AK73" s="4">
        <v>1E-3</v>
      </c>
      <c r="AL73" s="4">
        <v>0.09</v>
      </c>
      <c r="AM73" s="4">
        <v>0.12</v>
      </c>
      <c r="AN73" s="4">
        <v>0</v>
      </c>
      <c r="AO73" s="4">
        <v>0.01</v>
      </c>
      <c r="AP73" t="str">
        <f t="shared" si="1"/>
        <v>('201', 0.075, 0.095, 6.5, 7.6, 0, 0.01, 0.011, 0.05, 0.2, 0.4, 3.5, 4.4, 16.1, 16.5, 0.1, 0.5, 0.05, 0.13, 0, 0.006, 0, 0.05, 0, 7.5, 0.13, 0.154, 0.003, 0.006, 0.004, 0.01, 0.003, 0.005, 0.0004, 0.0018, 0.0006, 0.001, 0.09, 0.12, 0, 0.01),</v>
      </c>
    </row>
    <row r="74" spans="1:42" x14ac:dyDescent="0.2">
      <c r="A74" s="3">
        <v>202</v>
      </c>
      <c r="B74" s="3">
        <v>0.02</v>
      </c>
      <c r="C74" s="3">
        <v>0.14000000000000001</v>
      </c>
      <c r="D74" s="3">
        <v>6.68</v>
      </c>
      <c r="E74" s="3">
        <v>10.14</v>
      </c>
      <c r="F74" s="3">
        <v>1E-3</v>
      </c>
      <c r="G74" s="3">
        <v>8.0000000000000002E-3</v>
      </c>
      <c r="H74" s="3">
        <v>3.5000000000000003E-2</v>
      </c>
      <c r="I74" s="3">
        <v>9.2999999999999999E-2</v>
      </c>
      <c r="J74" s="3">
        <v>0.2</v>
      </c>
      <c r="K74" s="3">
        <v>0.55000000000000004</v>
      </c>
      <c r="L74" s="3">
        <v>0.8</v>
      </c>
      <c r="M74" s="3">
        <v>4.1100000000000003</v>
      </c>
      <c r="N74" s="3">
        <v>13.7</v>
      </c>
      <c r="O74" s="3">
        <v>16.5</v>
      </c>
      <c r="P74" s="3">
        <v>0.11</v>
      </c>
      <c r="Q74" s="3">
        <v>2.08</v>
      </c>
      <c r="R74" s="3">
        <v>0.03</v>
      </c>
      <c r="S74" s="3">
        <v>0.19</v>
      </c>
      <c r="T74" s="3">
        <v>1E-3</v>
      </c>
      <c r="U74" s="3">
        <v>7.0000000000000001E-3</v>
      </c>
      <c r="V74" s="3">
        <v>3.5000000000000003E-2</v>
      </c>
      <c r="W74" s="3">
        <v>0.08</v>
      </c>
      <c r="X74" s="3">
        <v>0</v>
      </c>
      <c r="Y74" s="3">
        <v>7.9</v>
      </c>
      <c r="Z74" s="3">
        <v>0.12</v>
      </c>
      <c r="AA74" s="3">
        <v>0.19800000000000001</v>
      </c>
      <c r="AB74" s="3">
        <v>2.0999999999999999E-3</v>
      </c>
      <c r="AC74" s="3">
        <v>8.0000000000000002E-3</v>
      </c>
      <c r="AD74" s="3">
        <v>2.5999999999999999E-3</v>
      </c>
      <c r="AE74" s="3">
        <v>1.9E-2</v>
      </c>
      <c r="AF74" s="3">
        <v>1E-3</v>
      </c>
      <c r="AG74" s="3">
        <v>8.5000000000000006E-3</v>
      </c>
      <c r="AH74" s="3">
        <v>1E-4</v>
      </c>
      <c r="AI74" s="3">
        <v>1.8E-3</v>
      </c>
      <c r="AJ74" s="3">
        <v>4.0000000000000002E-4</v>
      </c>
      <c r="AK74" s="3">
        <v>2.5999999999999999E-3</v>
      </c>
      <c r="AL74" s="3">
        <v>0.04</v>
      </c>
      <c r="AM74" s="3">
        <v>0.12</v>
      </c>
      <c r="AN74" s="3">
        <v>1E-3</v>
      </c>
      <c r="AO74" s="3">
        <v>3.9E-2</v>
      </c>
      <c r="AP74" t="str">
        <f t="shared" si="1"/>
        <v>('202', 0.02, 0.14, 6.68, 10.14, 0.001, 0.008, 0.035, 0.093, 0.2, 0.55, 0.8, 4.11, 13.7, 16.5, 0.11, 2.08, 0.03, 0.19, 0.001, 0.007, 0.035, 0.08, 0, 7.9, 0.12, 0.198, 0.0021, 0.008, 0.0026, 0.019, 0.001, 0.0085, 0.0001, 0.0018, 0.0004, 0.0026, 0.04, 0.12, 0.001, 0.039),</v>
      </c>
    </row>
    <row r="75" spans="1:42" x14ac:dyDescent="0.2">
      <c r="A75" s="4" t="s">
        <v>119</v>
      </c>
      <c r="B75" s="4">
        <v>0.09</v>
      </c>
      <c r="C75" s="4">
        <v>0.1</v>
      </c>
      <c r="D75" s="4">
        <v>8.4</v>
      </c>
      <c r="E75" s="4">
        <v>8.9</v>
      </c>
      <c r="F75" s="4">
        <v>0</v>
      </c>
      <c r="G75" s="4">
        <v>1.01</v>
      </c>
      <c r="H75" s="4">
        <v>2.5000000000000001E-2</v>
      </c>
      <c r="I75" s="4">
        <v>7.0999999999999994E-2</v>
      </c>
      <c r="J75" s="4">
        <v>0.25</v>
      </c>
      <c r="K75" s="4">
        <v>0.53</v>
      </c>
      <c r="L75" s="4">
        <v>1.5</v>
      </c>
      <c r="M75" s="4">
        <v>1.7</v>
      </c>
      <c r="N75" s="4">
        <v>16</v>
      </c>
      <c r="O75" s="4">
        <v>16.5</v>
      </c>
      <c r="P75" s="4">
        <v>2</v>
      </c>
      <c r="Q75" s="4">
        <v>2.14</v>
      </c>
      <c r="R75" s="4">
        <v>0.04</v>
      </c>
      <c r="S75" s="4">
        <v>0.19</v>
      </c>
      <c r="T75" s="4">
        <v>0</v>
      </c>
      <c r="U75" s="4">
        <v>0.01</v>
      </c>
      <c r="V75" s="4">
        <v>0</v>
      </c>
      <c r="W75" s="4">
        <v>0.06</v>
      </c>
      <c r="X75" s="4">
        <v>0</v>
      </c>
      <c r="Y75" s="4">
        <v>8</v>
      </c>
      <c r="Z75" s="4">
        <v>0.157</v>
      </c>
      <c r="AA75" s="4">
        <v>0.20499999999999999</v>
      </c>
      <c r="AB75" s="4">
        <v>3.0000000000000001E-3</v>
      </c>
      <c r="AC75" s="4">
        <v>1.7000000000000001E-2</v>
      </c>
      <c r="AD75" s="4">
        <v>3.0000000000000001E-3</v>
      </c>
      <c r="AE75" s="4">
        <v>1.7000000000000001E-2</v>
      </c>
      <c r="AF75" s="4">
        <v>2E-3</v>
      </c>
      <c r="AG75" s="4">
        <v>8.9999999999999993E-3</v>
      </c>
      <c r="AH75" s="4">
        <v>2.9999999999999997E-4</v>
      </c>
      <c r="AI75" s="4">
        <v>1.2999999999999999E-3</v>
      </c>
      <c r="AJ75" s="4">
        <v>1E-3</v>
      </c>
      <c r="AK75" s="4">
        <v>7.1000000000000004E-3</v>
      </c>
      <c r="AL75" s="4">
        <v>0.06</v>
      </c>
      <c r="AM75" s="4">
        <v>0.1</v>
      </c>
      <c r="AN75" s="4">
        <v>0</v>
      </c>
      <c r="AO75" s="4">
        <v>0.03</v>
      </c>
      <c r="AP75" t="str">
        <f t="shared" si="1"/>
        <v>('204cu', 0.09, 0.1, 8.4, 8.9, 0, 1.01, 0.025, 0.071, 0.25, 0.53, 1.5, 1.7, 16, 16.5, 2, 2.14, 0.04, 0.19, 0, 0.01, 0, 0.06, 0, 8, 0.157, 0.205, 0.003, 0.017, 0.003, 0.017, 0.002, 0.009, 0.0003, 0.0013, 0.001, 0.0071, 0.06, 0.1, 0, 0.03),</v>
      </c>
    </row>
    <row r="76" spans="1:42" x14ac:dyDescent="0.2">
      <c r="A76" s="3" t="s">
        <v>120</v>
      </c>
      <c r="B76" s="3">
        <v>8.9999999999999993E-3</v>
      </c>
      <c r="C76" s="3">
        <v>0.11899999999999999</v>
      </c>
      <c r="D76" s="3">
        <v>0.33</v>
      </c>
      <c r="E76" s="3">
        <v>1.9</v>
      </c>
      <c r="F76" s="3">
        <v>1E-3</v>
      </c>
      <c r="G76" s="3">
        <v>8.0000000000000002E-3</v>
      </c>
      <c r="H76" s="3">
        <v>2.1999999999999999E-2</v>
      </c>
      <c r="I76" s="3">
        <v>4.4999999999999998E-2</v>
      </c>
      <c r="J76" s="3">
        <v>0.18</v>
      </c>
      <c r="K76" s="3">
        <v>0.69</v>
      </c>
      <c r="L76" s="3">
        <v>6.31</v>
      </c>
      <c r="M76" s="3">
        <v>19.18</v>
      </c>
      <c r="N76" s="3">
        <v>16.03</v>
      </c>
      <c r="O76" s="3">
        <v>25.55</v>
      </c>
      <c r="P76" s="3">
        <v>0.01</v>
      </c>
      <c r="Q76" s="3">
        <v>0.7</v>
      </c>
      <c r="R76" s="3">
        <v>0.01</v>
      </c>
      <c r="S76" s="3">
        <v>2.15</v>
      </c>
      <c r="T76" s="3">
        <v>1E-3</v>
      </c>
      <c r="U76" s="3">
        <v>0.23</v>
      </c>
      <c r="V76" s="3">
        <v>7.1000000000000004E-3</v>
      </c>
      <c r="W76" s="3">
        <v>0.13100000000000001</v>
      </c>
      <c r="X76" s="3">
        <v>0</v>
      </c>
      <c r="Y76" s="3">
        <v>7.6</v>
      </c>
      <c r="Z76" s="3">
        <v>1.03E-2</v>
      </c>
      <c r="AA76" s="3">
        <v>0.14249999999999999</v>
      </c>
      <c r="AB76" s="3">
        <v>1.5E-3</v>
      </c>
      <c r="AC76" s="3">
        <v>8.0000000000000002E-3</v>
      </c>
      <c r="AD76" s="3">
        <v>1E-3</v>
      </c>
      <c r="AE76" s="3">
        <v>2.5000000000000001E-2</v>
      </c>
      <c r="AF76" s="3">
        <v>1E-3</v>
      </c>
      <c r="AG76" s="3">
        <v>6.5000000000000002E-2</v>
      </c>
      <c r="AH76" s="3">
        <v>2.0000000000000001E-4</v>
      </c>
      <c r="AI76" s="3">
        <v>3.5999999999999999E-3</v>
      </c>
      <c r="AJ76" s="3">
        <v>1E-4</v>
      </c>
      <c r="AK76" s="3">
        <v>4.1999999999999997E-3</v>
      </c>
      <c r="AL76" s="3">
        <v>0.15</v>
      </c>
      <c r="AM76" s="3">
        <v>0.42</v>
      </c>
      <c r="AN76" s="3">
        <v>1E-3</v>
      </c>
      <c r="AO76" s="3">
        <v>0.185</v>
      </c>
      <c r="AP76" t="str">
        <f t="shared" si="1"/>
        <v>('304LN', 0.009, 0.119, 0.33, 1.9, 0.001, 0.008, 0.022, 0.045, 0.18, 0.69, 6.31, 19.18, 16.03, 25.55, 0.01, 0.7, 0.01, 2.15, 0.001, 0.23, 0.0071, 0.131, 0, 7.6, 0.0103, 0.1425, 0.0015, 0.008, 0.001, 0.025, 0.001, 0.065, 0.0002, 0.0036, 0.0001, 0.0042, 0.15, 0.42, 0.001, 0.185),</v>
      </c>
    </row>
    <row r="77" spans="1:42" x14ac:dyDescent="0.2">
      <c r="A77" s="4">
        <v>309</v>
      </c>
      <c r="B77" s="4">
        <v>8.9999999999999993E-3</v>
      </c>
      <c r="C77" s="4">
        <v>0.11899999999999999</v>
      </c>
      <c r="D77" s="4">
        <v>0.33</v>
      </c>
      <c r="E77" s="4">
        <v>1.9</v>
      </c>
      <c r="F77" s="4">
        <v>1E-3</v>
      </c>
      <c r="G77" s="4">
        <v>8.0000000000000002E-3</v>
      </c>
      <c r="H77" s="4">
        <v>2.1999999999999999E-2</v>
      </c>
      <c r="I77" s="4">
        <v>4.4999999999999998E-2</v>
      </c>
      <c r="J77" s="4">
        <v>0.18</v>
      </c>
      <c r="K77" s="4">
        <v>0.69</v>
      </c>
      <c r="L77" s="4">
        <v>6.31</v>
      </c>
      <c r="M77" s="4">
        <v>19.18</v>
      </c>
      <c r="N77" s="4">
        <v>16.03</v>
      </c>
      <c r="O77" s="4">
        <v>25.55</v>
      </c>
      <c r="P77" s="4">
        <v>0.01</v>
      </c>
      <c r="Q77" s="4">
        <v>0.7</v>
      </c>
      <c r="R77" s="4">
        <v>0.01</v>
      </c>
      <c r="S77" s="4">
        <v>2.15</v>
      </c>
      <c r="T77" s="4">
        <v>1E-3</v>
      </c>
      <c r="U77" s="4">
        <v>0.23</v>
      </c>
      <c r="V77" s="4">
        <v>7.1000000000000004E-3</v>
      </c>
      <c r="W77" s="4">
        <v>0.13100000000000001</v>
      </c>
      <c r="X77" s="4">
        <v>0</v>
      </c>
      <c r="Y77" s="4">
        <v>7.6</v>
      </c>
      <c r="Z77" s="4">
        <v>1.03E-2</v>
      </c>
      <c r="AA77" s="4">
        <v>0.14249999999999999</v>
      </c>
      <c r="AB77" s="4">
        <v>1.5E-3</v>
      </c>
      <c r="AC77" s="4">
        <v>8.0000000000000002E-3</v>
      </c>
      <c r="AD77" s="4">
        <v>1E-3</v>
      </c>
      <c r="AE77" s="4">
        <v>2.5000000000000001E-2</v>
      </c>
      <c r="AF77" s="4">
        <v>1E-3</v>
      </c>
      <c r="AG77" s="4">
        <v>6.5000000000000002E-2</v>
      </c>
      <c r="AH77" s="4">
        <v>2.0000000000000001E-4</v>
      </c>
      <c r="AI77" s="4">
        <v>3.5999999999999999E-3</v>
      </c>
      <c r="AJ77" s="4">
        <v>1E-4</v>
      </c>
      <c r="AK77" s="4">
        <v>4.1999999999999997E-3</v>
      </c>
      <c r="AL77" s="4">
        <v>0.15</v>
      </c>
      <c r="AM77" s="4">
        <v>0.42</v>
      </c>
      <c r="AN77" s="4">
        <v>1E-3</v>
      </c>
      <c r="AO77" s="4">
        <v>0.185</v>
      </c>
      <c r="AP77" t="str">
        <f t="shared" si="1"/>
        <v>('309', 0.009, 0.119, 0.33, 1.9, 0.001, 0.008, 0.022, 0.045, 0.18, 0.69, 6.31, 19.18, 16.03, 25.55, 0.01, 0.7, 0.01, 2.15, 0.001, 0.23, 0.0071, 0.131, 0, 7.6, 0.0103, 0.1425, 0.0015, 0.008, 0.001, 0.025, 0.001, 0.065, 0.0002, 0.0036, 0.0001, 0.0042, 0.15, 0.42, 0.001, 0.185),</v>
      </c>
    </row>
    <row r="78" spans="1:42" x14ac:dyDescent="0.2">
      <c r="A78" s="3" t="s">
        <v>121</v>
      </c>
      <c r="B78" s="3">
        <v>8.9999999999999993E-3</v>
      </c>
      <c r="C78" s="3">
        <v>0.11899999999999999</v>
      </c>
      <c r="D78" s="3">
        <v>0.33</v>
      </c>
      <c r="E78" s="3">
        <v>1.9</v>
      </c>
      <c r="F78" s="3">
        <v>1E-3</v>
      </c>
      <c r="G78" s="3">
        <v>8.0000000000000002E-3</v>
      </c>
      <c r="H78" s="3">
        <v>2.1999999999999999E-2</v>
      </c>
      <c r="I78" s="3">
        <v>4.4999999999999998E-2</v>
      </c>
      <c r="J78" s="3">
        <v>0.18</v>
      </c>
      <c r="K78" s="3">
        <v>0.69</v>
      </c>
      <c r="L78" s="3">
        <v>6.31</v>
      </c>
      <c r="M78" s="3">
        <v>19.18</v>
      </c>
      <c r="N78" s="3">
        <v>16.03</v>
      </c>
      <c r="O78" s="3">
        <v>25.55</v>
      </c>
      <c r="P78" s="3">
        <v>0.01</v>
      </c>
      <c r="Q78" s="3">
        <v>0.7</v>
      </c>
      <c r="R78" s="3">
        <v>0.01</v>
      </c>
      <c r="S78" s="3">
        <v>2.15</v>
      </c>
      <c r="T78" s="3">
        <v>1E-3</v>
      </c>
      <c r="U78" s="3">
        <v>0.23</v>
      </c>
      <c r="V78" s="3">
        <v>7.1000000000000004E-3</v>
      </c>
      <c r="W78" s="3">
        <v>0.13100000000000001</v>
      </c>
      <c r="X78" s="3">
        <v>0</v>
      </c>
      <c r="Y78" s="3">
        <v>7.6</v>
      </c>
      <c r="Z78" s="3">
        <v>1.03E-2</v>
      </c>
      <c r="AA78" s="3">
        <v>0.14249999999999999</v>
      </c>
      <c r="AB78" s="3">
        <v>1.5E-3</v>
      </c>
      <c r="AC78" s="3">
        <v>8.0000000000000002E-3</v>
      </c>
      <c r="AD78" s="3">
        <v>1E-3</v>
      </c>
      <c r="AE78" s="3">
        <v>2.5000000000000001E-2</v>
      </c>
      <c r="AF78" s="3">
        <v>1E-3</v>
      </c>
      <c r="AG78" s="3">
        <v>6.5000000000000002E-2</v>
      </c>
      <c r="AH78" s="3">
        <v>2.0000000000000001E-4</v>
      </c>
      <c r="AI78" s="3">
        <v>3.5999999999999999E-3</v>
      </c>
      <c r="AJ78" s="3">
        <v>1E-4</v>
      </c>
      <c r="AK78" s="3">
        <v>4.1999999999999997E-3</v>
      </c>
      <c r="AL78" s="3">
        <v>0.15</v>
      </c>
      <c r="AM78" s="3">
        <v>0.42</v>
      </c>
      <c r="AN78" s="3">
        <v>1E-3</v>
      </c>
      <c r="AO78" s="3">
        <v>0.185</v>
      </c>
      <c r="AP78" t="str">
        <f t="shared" si="1"/>
        <v>('309S', 0.009, 0.119, 0.33, 1.9, 0.001, 0.008, 0.022, 0.045, 0.18, 0.69, 6.31, 19.18, 16.03, 25.55, 0.01, 0.7, 0.01, 2.15, 0.001, 0.23, 0.0071, 0.131, 0, 7.6, 0.0103, 0.1425, 0.0015, 0.008, 0.001, 0.025, 0.001, 0.065, 0.0002, 0.0036, 0.0001, 0.0042, 0.15, 0.42, 0.001, 0.185),</v>
      </c>
    </row>
    <row r="79" spans="1:42" x14ac:dyDescent="0.2">
      <c r="A79" s="4">
        <v>310</v>
      </c>
      <c r="B79" s="4">
        <v>8.9999999999999993E-3</v>
      </c>
      <c r="C79" s="4">
        <v>0.11899999999999999</v>
      </c>
      <c r="D79" s="4">
        <v>0.33</v>
      </c>
      <c r="E79" s="4">
        <v>1.9</v>
      </c>
      <c r="F79" s="4">
        <v>1E-3</v>
      </c>
      <c r="G79" s="4">
        <v>8.0000000000000002E-3</v>
      </c>
      <c r="H79" s="4">
        <v>2.1999999999999999E-2</v>
      </c>
      <c r="I79" s="4">
        <v>4.4999999999999998E-2</v>
      </c>
      <c r="J79" s="4">
        <v>0.18</v>
      </c>
      <c r="K79" s="4">
        <v>0.69</v>
      </c>
      <c r="L79" s="4">
        <v>6.31</v>
      </c>
      <c r="M79" s="4">
        <v>19.18</v>
      </c>
      <c r="N79" s="4">
        <v>16.03</v>
      </c>
      <c r="O79" s="4">
        <v>25.55</v>
      </c>
      <c r="P79" s="4">
        <v>0.01</v>
      </c>
      <c r="Q79" s="4">
        <v>0.7</v>
      </c>
      <c r="R79" s="4">
        <v>0.01</v>
      </c>
      <c r="S79" s="4">
        <v>2.15</v>
      </c>
      <c r="T79" s="4">
        <v>1E-3</v>
      </c>
      <c r="U79" s="4">
        <v>0.23</v>
      </c>
      <c r="V79" s="4">
        <v>7.1000000000000004E-3</v>
      </c>
      <c r="W79" s="4">
        <v>0.13100000000000001</v>
      </c>
      <c r="X79" s="4">
        <v>0</v>
      </c>
      <c r="Y79" s="4">
        <v>7.6</v>
      </c>
      <c r="Z79" s="4">
        <v>1.03E-2</v>
      </c>
      <c r="AA79" s="4">
        <v>0.14249999999999999</v>
      </c>
      <c r="AB79" s="4">
        <v>1.5E-3</v>
      </c>
      <c r="AC79" s="4">
        <v>8.0000000000000002E-3</v>
      </c>
      <c r="AD79" s="4">
        <v>1E-3</v>
      </c>
      <c r="AE79" s="4">
        <v>2.5000000000000001E-2</v>
      </c>
      <c r="AF79" s="4">
        <v>1E-3</v>
      </c>
      <c r="AG79" s="4">
        <v>6.5000000000000002E-2</v>
      </c>
      <c r="AH79" s="4">
        <v>2.0000000000000001E-4</v>
      </c>
      <c r="AI79" s="4">
        <v>3.5999999999999999E-3</v>
      </c>
      <c r="AJ79" s="4">
        <v>1E-4</v>
      </c>
      <c r="AK79" s="4">
        <v>4.1999999999999997E-3</v>
      </c>
      <c r="AL79" s="4">
        <v>0.15</v>
      </c>
      <c r="AM79" s="4">
        <v>0.42</v>
      </c>
      <c r="AN79" s="4">
        <v>1E-3</v>
      </c>
      <c r="AO79" s="4">
        <v>0.185</v>
      </c>
      <c r="AP79" t="str">
        <f t="shared" si="1"/>
        <v>('310', 0.009, 0.119, 0.33, 1.9, 0.001, 0.008, 0.022, 0.045, 0.18, 0.69, 6.31, 19.18, 16.03, 25.55, 0.01, 0.7, 0.01, 2.15, 0.001, 0.23, 0.0071, 0.131, 0, 7.6, 0.0103, 0.1425, 0.0015, 0.008, 0.001, 0.025, 0.001, 0.065, 0.0002, 0.0036, 0.0001, 0.0042, 0.15, 0.42, 0.001, 0.185),</v>
      </c>
    </row>
    <row r="80" spans="1:42" x14ac:dyDescent="0.2">
      <c r="A80" s="3" t="s">
        <v>122</v>
      </c>
      <c r="B80" s="3">
        <v>1.6E-2</v>
      </c>
      <c r="C80" s="3">
        <v>2.7E-2</v>
      </c>
      <c r="D80" s="3">
        <v>0.71</v>
      </c>
      <c r="E80" s="3">
        <v>1.4</v>
      </c>
      <c r="F80" s="3">
        <v>1E-3</v>
      </c>
      <c r="G80" s="3">
        <v>5.0000000000000001E-3</v>
      </c>
      <c r="H80" s="3">
        <v>3.6999999999999998E-2</v>
      </c>
      <c r="I80" s="3">
        <v>4.4999999999999998E-2</v>
      </c>
      <c r="J80" s="3">
        <v>0.28000000000000003</v>
      </c>
      <c r="K80" s="3">
        <v>0.48</v>
      </c>
      <c r="L80" s="3">
        <v>10.01</v>
      </c>
      <c r="M80" s="3">
        <v>10.3</v>
      </c>
      <c r="N80" s="3">
        <v>16.03</v>
      </c>
      <c r="O80" s="3">
        <v>16.899999999999999</v>
      </c>
      <c r="P80" s="3">
        <v>0.12</v>
      </c>
      <c r="Q80" s="3">
        <v>0.7</v>
      </c>
      <c r="R80" s="3">
        <v>2</v>
      </c>
      <c r="S80" s="3">
        <v>2.6</v>
      </c>
      <c r="T80" s="3">
        <v>1E-3</v>
      </c>
      <c r="U80" s="3">
        <v>6.0000000000000001E-3</v>
      </c>
      <c r="V80" s="3">
        <v>0</v>
      </c>
      <c r="W80" s="3">
        <v>8.1000000000000003E-2</v>
      </c>
      <c r="X80" s="3">
        <v>0</v>
      </c>
      <c r="Y80" s="3">
        <v>7.5</v>
      </c>
      <c r="Z80" s="3">
        <v>2.5000000000000001E-2</v>
      </c>
      <c r="AA80" s="3">
        <v>5.6099999999999997E-2</v>
      </c>
      <c r="AB80" s="3">
        <v>3.5999999999999999E-3</v>
      </c>
      <c r="AC80" s="3">
        <v>7.9000000000000008E-3</v>
      </c>
      <c r="AD80" s="3">
        <v>1.5E-3</v>
      </c>
      <c r="AE80" s="3">
        <v>1.6299999999999999E-2</v>
      </c>
      <c r="AF80" s="3">
        <v>2E-3</v>
      </c>
      <c r="AG80" s="3">
        <v>8.0000000000000002E-3</v>
      </c>
      <c r="AH80" s="3">
        <v>2.0000000000000001E-4</v>
      </c>
      <c r="AI80" s="3">
        <v>2E-3</v>
      </c>
      <c r="AJ80" s="3">
        <v>1E-4</v>
      </c>
      <c r="AK80" s="3">
        <v>5.1000000000000004E-3</v>
      </c>
      <c r="AL80" s="3">
        <v>0.2</v>
      </c>
      <c r="AM80" s="3">
        <v>0.35</v>
      </c>
      <c r="AN80" s="3">
        <v>0</v>
      </c>
      <c r="AO80" s="3">
        <v>2.9000000000000001E-2</v>
      </c>
      <c r="AP80" t="str">
        <f t="shared" si="1"/>
        <v>('316L', 0.016, 0.027, 0.71, 1.4, 0.001, 0.005, 0.037, 0.045, 0.28, 0.48, 10.01, 10.3, 16.03, 16.9, 0.12, 0.7, 2, 2.6, 0.001, 0.006, 0, 0.081, 0, 7.5, 0.025, 0.0561, 0.0036, 0.0079, 0.0015, 0.0163, 0.002, 0.008, 0.0002, 0.002, 0.0001, 0.0051, 0.2, 0.35, 0, 0.029),</v>
      </c>
    </row>
    <row r="81" spans="1:42" x14ac:dyDescent="0.2">
      <c r="A81" s="4" t="s">
        <v>123</v>
      </c>
      <c r="B81" s="4">
        <v>8.9999999999999993E-3</v>
      </c>
      <c r="C81" s="4">
        <v>0.11899999999999999</v>
      </c>
      <c r="D81" s="4">
        <v>0.33</v>
      </c>
      <c r="E81" s="4">
        <v>1.9</v>
      </c>
      <c r="F81" s="4">
        <v>1E-3</v>
      </c>
      <c r="G81" s="4">
        <v>8.0000000000000002E-3</v>
      </c>
      <c r="H81" s="4">
        <v>2.1999999999999999E-2</v>
      </c>
      <c r="I81" s="4">
        <v>4.4999999999999998E-2</v>
      </c>
      <c r="J81" s="4">
        <v>0.18</v>
      </c>
      <c r="K81" s="4">
        <v>0.69</v>
      </c>
      <c r="L81" s="4">
        <v>6.31</v>
      </c>
      <c r="M81" s="4">
        <v>19.18</v>
      </c>
      <c r="N81" s="4">
        <v>16.03</v>
      </c>
      <c r="O81" s="4">
        <v>25.55</v>
      </c>
      <c r="P81" s="4">
        <v>0.01</v>
      </c>
      <c r="Q81" s="4">
        <v>0.7</v>
      </c>
      <c r="R81" s="4">
        <v>0.01</v>
      </c>
      <c r="S81" s="4">
        <v>2.15</v>
      </c>
      <c r="T81" s="4">
        <v>1E-3</v>
      </c>
      <c r="U81" s="4">
        <v>0.23</v>
      </c>
      <c r="V81" s="4">
        <v>7.1000000000000004E-3</v>
      </c>
      <c r="W81" s="4">
        <v>0.13100000000000001</v>
      </c>
      <c r="X81" s="4">
        <v>0</v>
      </c>
      <c r="Y81" s="4">
        <v>7.6</v>
      </c>
      <c r="Z81" s="4">
        <v>1.03E-2</v>
      </c>
      <c r="AA81" s="4">
        <v>0.14249999999999999</v>
      </c>
      <c r="AB81" s="4">
        <v>1.5E-3</v>
      </c>
      <c r="AC81" s="4">
        <v>8.0000000000000002E-3</v>
      </c>
      <c r="AD81" s="4">
        <v>1E-3</v>
      </c>
      <c r="AE81" s="4">
        <v>2.5000000000000001E-2</v>
      </c>
      <c r="AF81" s="4">
        <v>1E-3</v>
      </c>
      <c r="AG81" s="4">
        <v>6.5000000000000002E-2</v>
      </c>
      <c r="AH81" s="4">
        <v>2.0000000000000001E-4</v>
      </c>
      <c r="AI81" s="4">
        <v>3.5999999999999999E-3</v>
      </c>
      <c r="AJ81" s="4">
        <v>1E-4</v>
      </c>
      <c r="AK81" s="4">
        <v>4.1999999999999997E-3</v>
      </c>
      <c r="AL81" s="4">
        <v>0.15</v>
      </c>
      <c r="AM81" s="4">
        <v>0.42</v>
      </c>
      <c r="AN81" s="4">
        <v>1E-3</v>
      </c>
      <c r="AO81" s="4">
        <v>0.185</v>
      </c>
      <c r="AP81" t="str">
        <f t="shared" si="1"/>
        <v>('316LN', 0.009, 0.119, 0.33, 1.9, 0.001, 0.008, 0.022, 0.045, 0.18, 0.69, 6.31, 19.18, 16.03, 25.55, 0.01, 0.7, 0.01, 2.15, 0.001, 0.23, 0.0071, 0.131, 0, 7.6, 0.0103, 0.1425, 0.0015, 0.008, 0.001, 0.025, 0.001, 0.065, 0.0002, 0.0036, 0.0001, 0.0042, 0.15, 0.42, 0.001, 0.185),</v>
      </c>
    </row>
    <row r="82" spans="1:42" x14ac:dyDescent="0.2">
      <c r="A82" s="3" t="s">
        <v>124</v>
      </c>
      <c r="B82" s="3">
        <v>8.9999999999999993E-3</v>
      </c>
      <c r="C82" s="3">
        <v>0.11899999999999999</v>
      </c>
      <c r="D82" s="3">
        <v>0.33</v>
      </c>
      <c r="E82" s="3">
        <v>1.9</v>
      </c>
      <c r="F82" s="3">
        <v>1E-3</v>
      </c>
      <c r="G82" s="3">
        <v>8.0000000000000002E-3</v>
      </c>
      <c r="H82" s="3">
        <v>2.1999999999999999E-2</v>
      </c>
      <c r="I82" s="3">
        <v>4.4999999999999998E-2</v>
      </c>
      <c r="J82" s="3">
        <v>0.18</v>
      </c>
      <c r="K82" s="3">
        <v>0.69</v>
      </c>
      <c r="L82" s="3">
        <v>6.31</v>
      </c>
      <c r="M82" s="3">
        <v>19.18</v>
      </c>
      <c r="N82" s="3">
        <v>16.03</v>
      </c>
      <c r="O82" s="3">
        <v>25.55</v>
      </c>
      <c r="P82" s="3">
        <v>0.01</v>
      </c>
      <c r="Q82" s="3">
        <v>0.7</v>
      </c>
      <c r="R82" s="3">
        <v>0.01</v>
      </c>
      <c r="S82" s="3">
        <v>2.15</v>
      </c>
      <c r="T82" s="3">
        <v>1E-3</v>
      </c>
      <c r="U82" s="3">
        <v>0.23</v>
      </c>
      <c r="V82" s="3">
        <v>7.1000000000000004E-3</v>
      </c>
      <c r="W82" s="3">
        <v>0.13100000000000001</v>
      </c>
      <c r="X82" s="3">
        <v>0</v>
      </c>
      <c r="Y82" s="3">
        <v>7.6</v>
      </c>
      <c r="Z82" s="3">
        <v>1.03E-2</v>
      </c>
      <c r="AA82" s="3">
        <v>0.14249999999999999</v>
      </c>
      <c r="AB82" s="3">
        <v>1.5E-3</v>
      </c>
      <c r="AC82" s="3">
        <v>8.0000000000000002E-3</v>
      </c>
      <c r="AD82" s="3">
        <v>1E-3</v>
      </c>
      <c r="AE82" s="3">
        <v>2.5000000000000001E-2</v>
      </c>
      <c r="AF82" s="3">
        <v>1E-3</v>
      </c>
      <c r="AG82" s="3">
        <v>6.5000000000000002E-2</v>
      </c>
      <c r="AH82" s="3">
        <v>2.0000000000000001E-4</v>
      </c>
      <c r="AI82" s="3">
        <v>3.5999999999999999E-3</v>
      </c>
      <c r="AJ82" s="3">
        <v>1E-4</v>
      </c>
      <c r="AK82" s="3">
        <v>4.1999999999999997E-3</v>
      </c>
      <c r="AL82" s="3">
        <v>0.15</v>
      </c>
      <c r="AM82" s="3">
        <v>0.42</v>
      </c>
      <c r="AN82" s="3">
        <v>1E-3</v>
      </c>
      <c r="AO82" s="3">
        <v>0.185</v>
      </c>
      <c r="AP82" t="str">
        <f t="shared" si="1"/>
        <v>('317LN', 0.009, 0.119, 0.33, 1.9, 0.001, 0.008, 0.022, 0.045, 0.18, 0.69, 6.31, 19.18, 16.03, 25.55, 0.01, 0.7, 0.01, 2.15, 0.001, 0.23, 0.0071, 0.131, 0, 7.6, 0.0103, 0.1425, 0.0015, 0.008, 0.001, 0.025, 0.001, 0.065, 0.0002, 0.0036, 0.0001, 0.0042, 0.15, 0.42, 0.001, 0.185),</v>
      </c>
    </row>
    <row r="83" spans="1:42" x14ac:dyDescent="0.2">
      <c r="A83" s="4">
        <v>321</v>
      </c>
      <c r="B83" s="4">
        <v>1.4999999999999999E-2</v>
      </c>
      <c r="C83" s="4">
        <v>2.3E-2</v>
      </c>
      <c r="D83" s="4">
        <v>1.2</v>
      </c>
      <c r="E83" s="4">
        <v>1.86</v>
      </c>
      <c r="F83" s="4">
        <v>1E-3</v>
      </c>
      <c r="G83" s="4">
        <v>6.0000000000000001E-3</v>
      </c>
      <c r="H83" s="4">
        <v>3.5000000000000003E-2</v>
      </c>
      <c r="I83" s="4">
        <v>4.3999999999999997E-2</v>
      </c>
      <c r="J83" s="4">
        <v>0.2</v>
      </c>
      <c r="K83" s="4">
        <v>0.46</v>
      </c>
      <c r="L83" s="4">
        <v>9.02</v>
      </c>
      <c r="M83" s="4">
        <v>9.09</v>
      </c>
      <c r="N83" s="4">
        <v>17.05</v>
      </c>
      <c r="O83" s="4">
        <v>17.399999999999999</v>
      </c>
      <c r="P83" s="4">
        <v>0.22</v>
      </c>
      <c r="Q83" s="4">
        <v>0.5</v>
      </c>
      <c r="R83" s="4">
        <v>0.1</v>
      </c>
      <c r="S83" s="4">
        <v>0.3</v>
      </c>
      <c r="T83" s="4">
        <v>0.12</v>
      </c>
      <c r="U83" s="4">
        <v>0.22</v>
      </c>
      <c r="V83" s="4">
        <v>0</v>
      </c>
      <c r="W83" s="4">
        <v>0.08</v>
      </c>
      <c r="X83" s="4">
        <v>0</v>
      </c>
      <c r="Y83" s="4">
        <v>7</v>
      </c>
      <c r="Z83" s="4">
        <v>1.0999999999999999E-2</v>
      </c>
      <c r="AA83" s="4">
        <v>1.6500000000000001E-2</v>
      </c>
      <c r="AB83" s="4">
        <v>4.0000000000000001E-3</v>
      </c>
      <c r="AC83" s="4">
        <v>7.0000000000000001E-3</v>
      </c>
      <c r="AD83" s="4">
        <v>6.7999999999999996E-3</v>
      </c>
      <c r="AE83" s="4">
        <v>1.89E-2</v>
      </c>
      <c r="AF83" s="4">
        <v>0.01</v>
      </c>
      <c r="AG83" s="4">
        <v>0.05</v>
      </c>
      <c r="AH83" s="4">
        <v>5.0000000000000001E-4</v>
      </c>
      <c r="AI83" s="4">
        <v>1.8E-3</v>
      </c>
      <c r="AJ83" s="4">
        <v>2.0000000000000001E-4</v>
      </c>
      <c r="AK83" s="4">
        <v>8.0000000000000004E-4</v>
      </c>
      <c r="AL83" s="4">
        <v>0.19</v>
      </c>
      <c r="AM83" s="4">
        <v>0.28000000000000003</v>
      </c>
      <c r="AN83" s="4">
        <v>0</v>
      </c>
      <c r="AO83" s="4">
        <v>1.6E-2</v>
      </c>
      <c r="AP83" t="str">
        <f t="shared" si="1"/>
        <v>('321', 0.015, 0.023, 1.2, 1.86, 0.001, 0.006, 0.035, 0.044, 0.2, 0.46, 9.02, 9.09, 17.05, 17.4, 0.22, 0.5, 0.1, 0.3, 0.12, 0.22, 0, 0.08, 0, 7, 0.011, 0.0165, 0.004, 0.007, 0.0068, 0.0189, 0.01, 0.05, 0.0005, 0.0018, 0.0002, 0.0008, 0.19, 0.28, 0, 0.016),</v>
      </c>
    </row>
    <row r="84" spans="1:42" x14ac:dyDescent="0.2">
      <c r="A84" s="3">
        <v>347</v>
      </c>
      <c r="B84" s="3">
        <v>0.04</v>
      </c>
      <c r="C84" s="3">
        <v>4.4999999999999998E-2</v>
      </c>
      <c r="D84" s="3">
        <v>1.6</v>
      </c>
      <c r="E84" s="3">
        <v>1.8</v>
      </c>
      <c r="F84" s="3">
        <v>1E-3</v>
      </c>
      <c r="G84" s="3">
        <v>2E-3</v>
      </c>
      <c r="H84" s="3">
        <v>3.7999999999999999E-2</v>
      </c>
      <c r="I84" s="3">
        <v>0.04</v>
      </c>
      <c r="J84" s="3">
        <v>0.25</v>
      </c>
      <c r="K84" s="3">
        <v>0.4</v>
      </c>
      <c r="L84" s="3">
        <v>9.0500000000000007</v>
      </c>
      <c r="M84" s="3">
        <v>9.1</v>
      </c>
      <c r="N84" s="3">
        <v>17.2</v>
      </c>
      <c r="O84" s="3">
        <v>17.7</v>
      </c>
      <c r="P84" s="3">
        <v>0.27</v>
      </c>
      <c r="Q84" s="3">
        <v>0.47</v>
      </c>
      <c r="R84" s="3">
        <v>0.13</v>
      </c>
      <c r="S84" s="3">
        <v>0.18</v>
      </c>
      <c r="T84" s="3">
        <v>3.0000000000000001E-3</v>
      </c>
      <c r="U84" s="3">
        <v>3.0000000000000001E-3</v>
      </c>
      <c r="V84" s="3">
        <v>0</v>
      </c>
      <c r="W84" s="3">
        <v>6.7000000000000004E-2</v>
      </c>
      <c r="X84" s="3">
        <v>0</v>
      </c>
      <c r="Y84" s="3">
        <v>7</v>
      </c>
      <c r="Z84" s="3">
        <v>1.15E-2</v>
      </c>
      <c r="AA84" s="3">
        <v>1.7999999999999999E-2</v>
      </c>
      <c r="AB84" s="3">
        <v>4.5999999999999999E-3</v>
      </c>
      <c r="AC84" s="3">
        <v>5.4999999999999997E-3</v>
      </c>
      <c r="AD84" s="3">
        <v>9.4999999999999998E-3</v>
      </c>
      <c r="AE84" s="3">
        <v>1.5599999999999999E-2</v>
      </c>
      <c r="AF84" s="3">
        <v>4.5999999999999999E-3</v>
      </c>
      <c r="AG84" s="3">
        <v>5.1999999999999998E-3</v>
      </c>
      <c r="AH84" s="3">
        <v>5.0000000000000001E-4</v>
      </c>
      <c r="AI84" s="3">
        <v>6.9999999999999999E-4</v>
      </c>
      <c r="AJ84" s="3">
        <v>1E-4</v>
      </c>
      <c r="AK84" s="3">
        <v>4.0000000000000002E-4</v>
      </c>
      <c r="AL84" s="3">
        <v>0.16</v>
      </c>
      <c r="AM84" s="3">
        <v>0.21</v>
      </c>
      <c r="AN84" s="3">
        <v>0</v>
      </c>
      <c r="AO84" s="3">
        <v>0.43</v>
      </c>
      <c r="AP84" t="str">
        <f t="shared" si="1"/>
        <v>('347', 0.04, 0.045, 1.6, 1.8, 0.001, 0.002, 0.038, 0.04, 0.25, 0.4, 9.05, 9.1, 17.2, 17.7, 0.27, 0.47, 0.13, 0.18, 0.003, 0.003, 0, 0.067, 0, 7, 0.0115, 0.018, 0.0046, 0.0055, 0.0095, 0.0156, 0.0046, 0.0052, 0.0005, 0.0007, 0.0001, 0.0004, 0.16, 0.21, 0, 0.43),</v>
      </c>
    </row>
    <row r="85" spans="1:42" x14ac:dyDescent="0.2">
      <c r="A85" s="4">
        <v>405</v>
      </c>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t="str">
        <f t="shared" si="1"/>
        <v>('405', ),</v>
      </c>
    </row>
    <row r="86" spans="1:42" x14ac:dyDescent="0.2">
      <c r="A86" s="3" t="s">
        <v>125</v>
      </c>
      <c r="B86" s="3">
        <v>0</v>
      </c>
      <c r="C86" s="3">
        <v>0</v>
      </c>
      <c r="D86" s="3">
        <v>0</v>
      </c>
      <c r="E86" s="3">
        <v>0</v>
      </c>
      <c r="F86" s="3">
        <v>0</v>
      </c>
      <c r="G86" s="3">
        <v>0</v>
      </c>
      <c r="H86" s="3">
        <v>0</v>
      </c>
      <c r="I86" s="3">
        <v>0</v>
      </c>
      <c r="J86" s="3">
        <v>0</v>
      </c>
      <c r="K86" s="3">
        <v>0</v>
      </c>
      <c r="L86" s="3">
        <v>0</v>
      </c>
      <c r="M86" s="3">
        <v>0</v>
      </c>
      <c r="N86" s="3">
        <v>0</v>
      </c>
      <c r="O86" s="3">
        <v>0</v>
      </c>
      <c r="P86" s="3">
        <v>0</v>
      </c>
      <c r="Q86" s="3">
        <v>0</v>
      </c>
      <c r="R86" s="3">
        <v>0</v>
      </c>
      <c r="S86" s="3">
        <v>0</v>
      </c>
      <c r="T86" s="3">
        <v>0</v>
      </c>
      <c r="U86" s="3">
        <v>0</v>
      </c>
      <c r="V86" s="3">
        <v>0</v>
      </c>
      <c r="W86" s="3">
        <v>0</v>
      </c>
      <c r="X86" s="3">
        <v>0</v>
      </c>
      <c r="Y86" s="3">
        <v>0</v>
      </c>
      <c r="Z86" s="3">
        <v>0</v>
      </c>
      <c r="AA86" s="3">
        <v>0</v>
      </c>
      <c r="AB86" s="3">
        <v>0</v>
      </c>
      <c r="AC86" s="3">
        <v>0</v>
      </c>
      <c r="AD86" s="3">
        <v>0</v>
      </c>
      <c r="AE86" s="3">
        <v>0</v>
      </c>
      <c r="AF86" s="3">
        <v>0</v>
      </c>
      <c r="AG86" s="3">
        <v>0</v>
      </c>
      <c r="AH86" s="3">
        <v>0</v>
      </c>
      <c r="AI86" s="3">
        <v>0</v>
      </c>
      <c r="AJ86" s="3">
        <v>0</v>
      </c>
      <c r="AK86" s="3">
        <v>0</v>
      </c>
      <c r="AL86" s="3">
        <v>0</v>
      </c>
      <c r="AM86" s="3">
        <v>0</v>
      </c>
      <c r="AN86" s="3">
        <v>0</v>
      </c>
      <c r="AO86" s="3">
        <v>0</v>
      </c>
      <c r="AP86" t="str">
        <f t="shared" si="1"/>
        <v>('409M', 0, 0, 0, 0, 0, 0, 0, 0, 0, 0, 0, 0, 0, 0, 0, 0, 0, 0, 0, 0, 0, 0, 0, 0, 0, 0, 0, 0, 0, 0, 0, 0, 0, 0, 0, 0, 0, 0, 0, 0),</v>
      </c>
    </row>
    <row r="87" spans="1:42" x14ac:dyDescent="0.2">
      <c r="A87" s="4" t="s">
        <v>126</v>
      </c>
      <c r="B87" s="4">
        <v>0</v>
      </c>
      <c r="C87" s="4">
        <v>0</v>
      </c>
      <c r="D87" s="4">
        <v>0</v>
      </c>
      <c r="E87" s="4">
        <v>0</v>
      </c>
      <c r="F87" s="4">
        <v>0</v>
      </c>
      <c r="G87" s="4">
        <v>0</v>
      </c>
      <c r="H87" s="4">
        <v>0</v>
      </c>
      <c r="I87" s="4">
        <v>0</v>
      </c>
      <c r="J87" s="4">
        <v>0</v>
      </c>
      <c r="K87" s="4">
        <v>0</v>
      </c>
      <c r="L87" s="4">
        <v>0</v>
      </c>
      <c r="M87" s="4">
        <v>0</v>
      </c>
      <c r="N87" s="4">
        <v>0</v>
      </c>
      <c r="O87" s="4">
        <v>0</v>
      </c>
      <c r="P87" s="4">
        <v>0</v>
      </c>
      <c r="Q87" s="4">
        <v>0</v>
      </c>
      <c r="R87" s="4">
        <v>0</v>
      </c>
      <c r="S87" s="4">
        <v>0</v>
      </c>
      <c r="T87" s="4">
        <v>0</v>
      </c>
      <c r="U87" s="4">
        <v>0</v>
      </c>
      <c r="V87" s="4">
        <v>0</v>
      </c>
      <c r="W87" s="4">
        <v>0</v>
      </c>
      <c r="X87" s="4">
        <v>0</v>
      </c>
      <c r="Y87" s="4">
        <v>0</v>
      </c>
      <c r="Z87" s="4">
        <v>0</v>
      </c>
      <c r="AA87" s="4">
        <v>0</v>
      </c>
      <c r="AB87" s="4">
        <v>0</v>
      </c>
      <c r="AC87" s="4">
        <v>0</v>
      </c>
      <c r="AD87" s="4">
        <v>0</v>
      </c>
      <c r="AE87" s="4">
        <v>0</v>
      </c>
      <c r="AF87" s="4">
        <v>0</v>
      </c>
      <c r="AG87" s="4">
        <v>0</v>
      </c>
      <c r="AH87" s="4">
        <v>0</v>
      </c>
      <c r="AI87" s="4">
        <v>0</v>
      </c>
      <c r="AJ87" s="4">
        <v>0</v>
      </c>
      <c r="AK87" s="4">
        <v>0</v>
      </c>
      <c r="AL87" s="4">
        <v>0</v>
      </c>
      <c r="AM87" s="4">
        <v>0</v>
      </c>
      <c r="AN87" s="4">
        <v>0</v>
      </c>
      <c r="AO87" s="4">
        <v>0</v>
      </c>
      <c r="AP87" t="str">
        <f t="shared" si="1"/>
        <v>('410 QT550', 0, 0, 0, 0, 0, 0, 0, 0, 0, 0, 0, 0, 0, 0, 0, 0, 0, 0, 0, 0, 0, 0, 0, 0, 0, 0, 0, 0, 0, 0, 0, 0, 0, 0, 0, 0, 0, 0, 0, 0),</v>
      </c>
    </row>
    <row r="88" spans="1:42" x14ac:dyDescent="0.2">
      <c r="A88" s="3" t="s">
        <v>127</v>
      </c>
      <c r="B88" s="3">
        <v>0.03</v>
      </c>
      <c r="C88" s="3">
        <v>0.04</v>
      </c>
      <c r="D88" s="3">
        <v>0.25</v>
      </c>
      <c r="E88" s="3">
        <v>0.4</v>
      </c>
      <c r="F88" s="3">
        <v>3.0000000000000001E-3</v>
      </c>
      <c r="G88" s="3">
        <v>5.0000000000000001E-3</v>
      </c>
      <c r="H88" s="3">
        <v>2.9000000000000001E-2</v>
      </c>
      <c r="I88" s="3">
        <v>3.7999999999999999E-2</v>
      </c>
      <c r="J88" s="3">
        <v>0.35</v>
      </c>
      <c r="K88" s="3">
        <v>0.5</v>
      </c>
      <c r="L88" s="3">
        <v>0.11</v>
      </c>
      <c r="M88" s="3">
        <v>0.15</v>
      </c>
      <c r="N88" s="3">
        <v>11.6</v>
      </c>
      <c r="O88" s="3">
        <v>12.4</v>
      </c>
      <c r="P88" s="3">
        <v>0.01</v>
      </c>
      <c r="Q88" s="3">
        <v>0.15</v>
      </c>
      <c r="R88" s="3">
        <v>0.01</v>
      </c>
      <c r="S88" s="3">
        <v>0.02</v>
      </c>
      <c r="T88" s="3">
        <v>1E-3</v>
      </c>
      <c r="U88" s="3">
        <v>2E-3</v>
      </c>
      <c r="V88" s="3">
        <v>1.0999999999999999E-2</v>
      </c>
      <c r="W88" s="3">
        <v>5.0999999999999997E-2</v>
      </c>
      <c r="X88" s="3">
        <v>0</v>
      </c>
      <c r="Y88" s="3">
        <v>4</v>
      </c>
      <c r="Z88" s="3">
        <v>4.1000000000000003E-3</v>
      </c>
      <c r="AA88" s="3">
        <v>0.03</v>
      </c>
      <c r="AB88" s="3">
        <v>3.2000000000000002E-3</v>
      </c>
      <c r="AC88" s="3">
        <v>5.1000000000000004E-3</v>
      </c>
      <c r="AD88" s="3">
        <v>2.0999999999999999E-3</v>
      </c>
      <c r="AE88" s="3">
        <v>8.6999999999999994E-3</v>
      </c>
      <c r="AF88" s="3">
        <v>1E-3</v>
      </c>
      <c r="AG88" s="3">
        <v>5.0000000000000001E-3</v>
      </c>
      <c r="AH88" s="3">
        <v>2.0000000000000001E-4</v>
      </c>
      <c r="AI88" s="3">
        <v>2E-3</v>
      </c>
      <c r="AJ88" s="3">
        <v>4.0000000000000002E-4</v>
      </c>
      <c r="AK88" s="3">
        <v>5.9999999999999995E-4</v>
      </c>
      <c r="AL88" s="3">
        <v>0.03</v>
      </c>
      <c r="AM88" s="3">
        <v>0.04</v>
      </c>
      <c r="AN88" s="3">
        <v>1E-3</v>
      </c>
      <c r="AO88" s="3">
        <v>3.0000000000000001E-3</v>
      </c>
      <c r="AP88" t="str">
        <f t="shared" si="1"/>
        <v>('410S', 0.03, 0.04, 0.25, 0.4, 0.003, 0.005, 0.029, 0.038, 0.35, 0.5, 0.11, 0.15, 11.6, 12.4, 0.01, 0.15, 0.01, 0.02, 0.001, 0.002, 0.011, 0.051, 0, 4, 0.0041, 0.03, 0.0032, 0.0051, 0.0021, 0.0087, 0.001, 0.005, 0.0002, 0.002, 0.0004, 0.0006, 0.03, 0.04, 0.001, 0.003),</v>
      </c>
    </row>
    <row r="89" spans="1:42" x14ac:dyDescent="0.2">
      <c r="A89" s="4">
        <v>420</v>
      </c>
      <c r="B89" s="4">
        <v>0</v>
      </c>
      <c r="C89" s="4">
        <v>0</v>
      </c>
      <c r="D89" s="4">
        <v>0</v>
      </c>
      <c r="E89" s="4">
        <v>0</v>
      </c>
      <c r="F89" s="4">
        <v>0</v>
      </c>
      <c r="G89" s="4">
        <v>0</v>
      </c>
      <c r="H89" s="4">
        <v>0</v>
      </c>
      <c r="I89" s="4">
        <v>0</v>
      </c>
      <c r="J89" s="4">
        <v>0</v>
      </c>
      <c r="K89" s="4">
        <v>0</v>
      </c>
      <c r="L89" s="4">
        <v>0</v>
      </c>
      <c r="M89" s="4">
        <v>0</v>
      </c>
      <c r="N89" s="4">
        <v>0</v>
      </c>
      <c r="O89" s="4">
        <v>0</v>
      </c>
      <c r="P89" s="4">
        <v>0</v>
      </c>
      <c r="Q89" s="4">
        <v>0</v>
      </c>
      <c r="R89" s="4">
        <v>0</v>
      </c>
      <c r="S89" s="4">
        <v>0</v>
      </c>
      <c r="T89" s="4">
        <v>0</v>
      </c>
      <c r="U89" s="4">
        <v>0</v>
      </c>
      <c r="V89" s="4">
        <v>0</v>
      </c>
      <c r="W89" s="4">
        <v>0</v>
      </c>
      <c r="X89" s="4">
        <v>0</v>
      </c>
      <c r="Y89" s="4">
        <v>0</v>
      </c>
      <c r="Z89" s="4">
        <v>0</v>
      </c>
      <c r="AA89" s="4">
        <v>0</v>
      </c>
      <c r="AB89" s="4">
        <v>0</v>
      </c>
      <c r="AC89" s="4">
        <v>0</v>
      </c>
      <c r="AD89" s="4">
        <v>0</v>
      </c>
      <c r="AE89" s="4">
        <v>0</v>
      </c>
      <c r="AF89" s="4">
        <v>0</v>
      </c>
      <c r="AG89" s="4">
        <v>0</v>
      </c>
      <c r="AH89" s="4">
        <v>0</v>
      </c>
      <c r="AI89" s="4">
        <v>0</v>
      </c>
      <c r="AJ89" s="4">
        <v>0</v>
      </c>
      <c r="AK89" s="4">
        <v>0</v>
      </c>
      <c r="AL89" s="4">
        <v>0</v>
      </c>
      <c r="AM89" s="4">
        <v>0</v>
      </c>
      <c r="AN89" s="4">
        <v>0</v>
      </c>
      <c r="AO89" s="4">
        <v>0</v>
      </c>
      <c r="AP89" t="str">
        <f t="shared" si="1"/>
        <v>('420', 0, 0, 0, 0, 0, 0, 0, 0, 0, 0, 0, 0, 0, 0, 0, 0, 0, 0, 0, 0, 0, 0, 0, 0, 0, 0, 0, 0, 0, 0, 0, 0, 0, 0, 0, 0, 0, 0, 0, 0),</v>
      </c>
    </row>
    <row r="90" spans="1:42" x14ac:dyDescent="0.2">
      <c r="A90" s="3" t="s">
        <v>128</v>
      </c>
      <c r="B90" s="3">
        <v>0</v>
      </c>
      <c r="C90" s="3">
        <v>0</v>
      </c>
      <c r="D90" s="3">
        <v>0</v>
      </c>
      <c r="E90" s="3">
        <v>0</v>
      </c>
      <c r="F90" s="3">
        <v>0</v>
      </c>
      <c r="G90" s="3">
        <v>0</v>
      </c>
      <c r="H90" s="3">
        <v>0</v>
      </c>
      <c r="I90" s="3">
        <v>0</v>
      </c>
      <c r="J90" s="3">
        <v>0</v>
      </c>
      <c r="K90" s="3">
        <v>0</v>
      </c>
      <c r="L90" s="3">
        <v>0</v>
      </c>
      <c r="M90" s="3">
        <v>0</v>
      </c>
      <c r="N90" s="3">
        <v>0</v>
      </c>
      <c r="O90" s="3">
        <v>0</v>
      </c>
      <c r="P90" s="3">
        <v>0</v>
      </c>
      <c r="Q90" s="3">
        <v>0</v>
      </c>
      <c r="R90" s="3">
        <v>0</v>
      </c>
      <c r="S90" s="3">
        <v>0</v>
      </c>
      <c r="T90" s="3">
        <v>0</v>
      </c>
      <c r="U90" s="3">
        <v>0</v>
      </c>
      <c r="V90" s="3">
        <v>0</v>
      </c>
      <c r="W90" s="3">
        <v>0</v>
      </c>
      <c r="X90" s="3">
        <v>0</v>
      </c>
      <c r="Y90" s="3">
        <v>0</v>
      </c>
      <c r="Z90" s="3">
        <v>0</v>
      </c>
      <c r="AA90" s="3">
        <v>0</v>
      </c>
      <c r="AB90" s="3">
        <v>0</v>
      </c>
      <c r="AC90" s="3">
        <v>0</v>
      </c>
      <c r="AD90" s="3">
        <v>0</v>
      </c>
      <c r="AE90" s="3">
        <v>0</v>
      </c>
      <c r="AF90" s="3">
        <v>0</v>
      </c>
      <c r="AG90" s="3">
        <v>0</v>
      </c>
      <c r="AH90" s="3">
        <v>0</v>
      </c>
      <c r="AI90" s="3">
        <v>0</v>
      </c>
      <c r="AJ90" s="3">
        <v>0</v>
      </c>
      <c r="AK90" s="3">
        <v>0</v>
      </c>
      <c r="AL90" s="3">
        <v>0</v>
      </c>
      <c r="AM90" s="3">
        <v>0</v>
      </c>
      <c r="AN90" s="3">
        <v>0</v>
      </c>
      <c r="AO90" s="3">
        <v>0</v>
      </c>
      <c r="AP90" t="str">
        <f t="shared" si="1"/>
        <v>('430Ti', 0, 0, 0, 0, 0, 0, 0, 0, 0, 0, 0, 0, 0, 0, 0, 0, 0, 0, 0, 0, 0, 0, 0, 0, 0, 0, 0, 0, 0, 0, 0, 0, 0, 0, 0, 0, 0, 0, 0, 0),</v>
      </c>
    </row>
    <row r="91" spans="1:42" x14ac:dyDescent="0.2">
      <c r="A91" s="4" t="s">
        <v>129</v>
      </c>
      <c r="B91" s="4">
        <v>3.0999999999999999E-3</v>
      </c>
      <c r="C91" s="4">
        <v>0.01</v>
      </c>
      <c r="D91" s="4">
        <v>0.28000000000000003</v>
      </c>
      <c r="E91" s="4">
        <v>0.5</v>
      </c>
      <c r="F91" s="4">
        <v>2E-3</v>
      </c>
      <c r="G91" s="4">
        <v>5.0000000000000001E-3</v>
      </c>
      <c r="H91" s="4">
        <v>2.1000000000000001E-2</v>
      </c>
      <c r="I91" s="4">
        <v>3.9E-2</v>
      </c>
      <c r="J91" s="4">
        <v>0.2</v>
      </c>
      <c r="K91" s="4">
        <v>0.45</v>
      </c>
      <c r="L91" s="4">
        <v>0.05</v>
      </c>
      <c r="M91" s="4">
        <v>0.2</v>
      </c>
      <c r="N91" s="4">
        <v>17.100000000000001</v>
      </c>
      <c r="O91" s="4">
        <v>17.600000000000001</v>
      </c>
      <c r="P91" s="4">
        <v>2.1999999999999999E-2</v>
      </c>
      <c r="Q91" s="4">
        <v>0.2</v>
      </c>
      <c r="R91" s="4">
        <v>0.91</v>
      </c>
      <c r="S91" s="4">
        <v>0.96</v>
      </c>
      <c r="T91" s="4">
        <v>0.21</v>
      </c>
      <c r="U91" s="4">
        <v>0.28499999999999998</v>
      </c>
      <c r="V91" s="4">
        <v>4.1000000000000002E-2</v>
      </c>
      <c r="W91" s="4">
        <v>4.5999999999999999E-2</v>
      </c>
      <c r="X91" s="4">
        <v>0</v>
      </c>
      <c r="Y91" s="4">
        <v>4</v>
      </c>
      <c r="Z91" s="4">
        <v>7.1000000000000004E-3</v>
      </c>
      <c r="AA91" s="4">
        <v>1.4500000000000001E-2</v>
      </c>
      <c r="AB91" s="4">
        <v>3.8E-3</v>
      </c>
      <c r="AC91" s="4">
        <v>5.7999999999999996E-3</v>
      </c>
      <c r="AD91" s="4">
        <v>2.8999999999999998E-3</v>
      </c>
      <c r="AE91" s="4">
        <v>1.2200000000000001E-2</v>
      </c>
      <c r="AF91" s="4">
        <v>0.01</v>
      </c>
      <c r="AG91" s="4">
        <v>0.05</v>
      </c>
      <c r="AH91" s="4">
        <v>2.9999999999999997E-4</v>
      </c>
      <c r="AI91" s="4">
        <v>2.5000000000000001E-3</v>
      </c>
      <c r="AJ91" s="4">
        <v>2.0000000000000001E-4</v>
      </c>
      <c r="AK91" s="4">
        <v>8.9999999999999998E-4</v>
      </c>
      <c r="AL91" s="4">
        <v>0.04</v>
      </c>
      <c r="AM91" s="4">
        <v>0.05</v>
      </c>
      <c r="AN91" s="4">
        <v>1E-3</v>
      </c>
      <c r="AO91" s="4">
        <v>1.2E-2</v>
      </c>
      <c r="AP91" t="str">
        <f t="shared" si="1"/>
        <v>('436L', 0.0031, 0.01, 0.28, 0.5, 0.002, 0.005, 0.021, 0.039, 0.2, 0.45, 0.05, 0.2, 17.1, 17.6, 0.022, 0.2, 0.91, 0.96, 0.21, 0.285, 0.041, 0.046, 0, 4, 0.0071, 0.0145, 0.0038, 0.0058, 0.0029, 0.0122, 0.01, 0.05, 0.0003, 0.0025, 0.0002, 0.0009, 0.04, 0.05, 0.001, 0.012),</v>
      </c>
    </row>
    <row r="92" spans="1:42" x14ac:dyDescent="0.2">
      <c r="A92" s="3">
        <v>439</v>
      </c>
      <c r="B92" s="3">
        <v>3.0999999999999999E-3</v>
      </c>
      <c r="C92" s="3">
        <v>1.4999999999999999E-2</v>
      </c>
      <c r="D92" s="3">
        <v>0.24</v>
      </c>
      <c r="E92" s="3">
        <v>0.45</v>
      </c>
      <c r="F92" s="3">
        <v>1E-3</v>
      </c>
      <c r="G92" s="3">
        <v>4.0000000000000001E-3</v>
      </c>
      <c r="H92" s="3">
        <v>0.03</v>
      </c>
      <c r="I92" s="3">
        <v>3.7999999999999999E-2</v>
      </c>
      <c r="J92" s="3">
        <v>0.03</v>
      </c>
      <c r="K92" s="3">
        <v>0.55000000000000004</v>
      </c>
      <c r="L92" s="3">
        <v>0.09</v>
      </c>
      <c r="M92" s="3">
        <v>0.26</v>
      </c>
      <c r="N92" s="3">
        <v>17.100000000000001</v>
      </c>
      <c r="O92" s="3">
        <v>17.95</v>
      </c>
      <c r="P92" s="3">
        <v>0.02</v>
      </c>
      <c r="Q92" s="3">
        <v>0.2</v>
      </c>
      <c r="R92" s="3">
        <v>0.01</v>
      </c>
      <c r="S92" s="3">
        <v>0.03</v>
      </c>
      <c r="T92" s="3">
        <v>0.13</v>
      </c>
      <c r="U92" s="3">
        <v>0.4</v>
      </c>
      <c r="V92" s="3">
        <v>1.0999999999999999E-2</v>
      </c>
      <c r="W92" s="3">
        <v>9.5000000000000001E-2</v>
      </c>
      <c r="X92" s="3">
        <v>0</v>
      </c>
      <c r="Y92" s="3">
        <v>4</v>
      </c>
      <c r="Z92" s="3">
        <v>9.4000000000000004E-3</v>
      </c>
      <c r="AA92" s="3">
        <v>1.46E-2</v>
      </c>
      <c r="AB92" s="3">
        <v>1E-3</v>
      </c>
      <c r="AC92" s="3">
        <v>9.5999999999999992E-3</v>
      </c>
      <c r="AD92" s="3">
        <v>4.0000000000000001E-3</v>
      </c>
      <c r="AE92" s="3">
        <v>1.9E-2</v>
      </c>
      <c r="AF92" s="3">
        <v>0.02</v>
      </c>
      <c r="AG92" s="3">
        <v>0.05</v>
      </c>
      <c r="AH92" s="3">
        <v>4.0000000000000002E-4</v>
      </c>
      <c r="AI92" s="3">
        <v>2.2000000000000001E-3</v>
      </c>
      <c r="AJ92" s="3">
        <v>1E-4</v>
      </c>
      <c r="AK92" s="3">
        <v>8.0000000000000004E-4</v>
      </c>
      <c r="AL92" s="3">
        <v>0.04</v>
      </c>
      <c r="AM92" s="3">
        <v>0.06</v>
      </c>
      <c r="AN92" s="3">
        <v>1E-3</v>
      </c>
      <c r="AO92" s="3">
        <v>2.4E-2</v>
      </c>
      <c r="AP92" t="str">
        <f t="shared" si="1"/>
        <v>('439', 0.0031, 0.015, 0.24, 0.45, 0.001, 0.004, 0.03, 0.038, 0.03, 0.55, 0.09, 0.26, 17.1, 17.95, 0.02, 0.2, 0.01, 0.03, 0.13, 0.4, 0.011, 0.095, 0, 4, 0.0094, 0.0146, 0.001, 0.0096, 0.004, 0.019, 0.02, 0.05, 0.0004, 0.0022, 0.0001, 0.0008, 0.04, 0.06, 0.001, 0.024),</v>
      </c>
    </row>
    <row r="93" spans="1:42" x14ac:dyDescent="0.2">
      <c r="A93" s="4" t="s">
        <v>130</v>
      </c>
      <c r="B93" s="4">
        <v>0.02</v>
      </c>
      <c r="C93" s="4">
        <v>0.14000000000000001</v>
      </c>
      <c r="D93" s="4">
        <v>6.68</v>
      </c>
      <c r="E93" s="4">
        <v>10.14</v>
      </c>
      <c r="F93" s="4">
        <v>1E-3</v>
      </c>
      <c r="G93" s="4">
        <v>8.0000000000000002E-3</v>
      </c>
      <c r="H93" s="4">
        <v>3.5000000000000003E-2</v>
      </c>
      <c r="I93" s="4">
        <v>9.2999999999999999E-2</v>
      </c>
      <c r="J93" s="4">
        <v>0.2</v>
      </c>
      <c r="K93" s="4">
        <v>0.55000000000000004</v>
      </c>
      <c r="L93" s="4">
        <v>0.8</v>
      </c>
      <c r="M93" s="4">
        <v>4.1100000000000003</v>
      </c>
      <c r="N93" s="4">
        <v>13.7</v>
      </c>
      <c r="O93" s="4">
        <v>16.5</v>
      </c>
      <c r="P93" s="4">
        <v>0.11</v>
      </c>
      <c r="Q93" s="4">
        <v>2.08</v>
      </c>
      <c r="R93" s="4">
        <v>0.03</v>
      </c>
      <c r="S93" s="4">
        <v>0.19</v>
      </c>
      <c r="T93" s="4">
        <v>1E-3</v>
      </c>
      <c r="U93" s="4">
        <v>7.0000000000000001E-3</v>
      </c>
      <c r="V93" s="4">
        <v>3.5000000000000003E-2</v>
      </c>
      <c r="W93" s="4">
        <v>0.08</v>
      </c>
      <c r="X93" s="4">
        <v>0</v>
      </c>
      <c r="Y93" s="4">
        <v>7.9</v>
      </c>
      <c r="Z93" s="4">
        <v>0.12</v>
      </c>
      <c r="AA93" s="4">
        <v>0.19800000000000001</v>
      </c>
      <c r="AB93" s="4">
        <v>2.0999999999999999E-3</v>
      </c>
      <c r="AC93" s="4">
        <v>8.0000000000000002E-3</v>
      </c>
      <c r="AD93" s="4">
        <v>2.5999999999999999E-3</v>
      </c>
      <c r="AE93" s="4">
        <v>1.9E-2</v>
      </c>
      <c r="AF93" s="4">
        <v>1E-3</v>
      </c>
      <c r="AG93" s="4">
        <v>8.5000000000000006E-3</v>
      </c>
      <c r="AH93" s="4">
        <v>1E-4</v>
      </c>
      <c r="AI93" s="4">
        <v>1.8E-3</v>
      </c>
      <c r="AJ93" s="4">
        <v>4.0000000000000002E-4</v>
      </c>
      <c r="AK93" s="4">
        <v>2.5999999999999999E-3</v>
      </c>
      <c r="AL93" s="4">
        <v>0.04</v>
      </c>
      <c r="AM93" s="4">
        <v>0.12</v>
      </c>
      <c r="AN93" s="4">
        <v>1E-3</v>
      </c>
      <c r="AO93" s="4">
        <v>3.9E-2</v>
      </c>
      <c r="AP93" t="str">
        <f t="shared" si="1"/>
        <v>('JSLU', 0.02, 0.14, 6.68, 10.14, 0.001, 0.008, 0.035, 0.093, 0.2, 0.55, 0.8, 4.11, 13.7, 16.5, 0.11, 2.08, 0.03, 0.19, 0.001, 0.007, 0.035, 0.08, 0, 7.9, 0.12, 0.198, 0.0021, 0.008, 0.0026, 0.019, 0.001, 0.0085, 0.0001, 0.0018, 0.0004, 0.0026, 0.04, 0.12, 0.001, 0.039),</v>
      </c>
    </row>
    <row r="94" spans="1:42" x14ac:dyDescent="0.2">
      <c r="A94" s="3" t="s">
        <v>131</v>
      </c>
      <c r="B94" s="3">
        <v>7.0000000000000001E-3</v>
      </c>
      <c r="C94" s="3">
        <v>1.7999999999999999E-2</v>
      </c>
      <c r="D94" s="3">
        <v>0.23</v>
      </c>
      <c r="E94" s="3">
        <v>0.51</v>
      </c>
      <c r="F94" s="3">
        <v>1E-3</v>
      </c>
      <c r="G94" s="3">
        <v>7.0000000000000001E-3</v>
      </c>
      <c r="H94" s="3">
        <v>1.7000000000000001E-2</v>
      </c>
      <c r="I94" s="3">
        <v>3.9E-2</v>
      </c>
      <c r="J94" s="3">
        <v>0.09</v>
      </c>
      <c r="K94" s="3">
        <v>0.42</v>
      </c>
      <c r="L94" s="3">
        <v>0.12</v>
      </c>
      <c r="M94" s="3">
        <v>0.19</v>
      </c>
      <c r="N94" s="3">
        <v>16.03</v>
      </c>
      <c r="O94" s="3">
        <v>16.71</v>
      </c>
      <c r="P94" s="3">
        <v>0.03</v>
      </c>
      <c r="Q94" s="3">
        <v>0.18</v>
      </c>
      <c r="R94" s="3">
        <v>0.01</v>
      </c>
      <c r="S94" s="3">
        <v>0.02</v>
      </c>
      <c r="T94" s="3">
        <v>1E-3</v>
      </c>
      <c r="U94" s="3">
        <v>4.0000000000000001E-3</v>
      </c>
      <c r="V94" s="3">
        <v>0.03</v>
      </c>
      <c r="W94" s="3">
        <v>0.06</v>
      </c>
      <c r="X94" s="3">
        <v>0</v>
      </c>
      <c r="Y94" s="3">
        <v>4</v>
      </c>
      <c r="Z94" s="3">
        <v>8.9999999999999993E-3</v>
      </c>
      <c r="AA94" s="3">
        <v>0.02</v>
      </c>
      <c r="AB94" s="3">
        <v>2.5000000000000001E-3</v>
      </c>
      <c r="AC94" s="3">
        <v>6.4000000000000003E-3</v>
      </c>
      <c r="AD94" s="3">
        <v>1.5E-3</v>
      </c>
      <c r="AE94" s="3">
        <v>8.8000000000000005E-3</v>
      </c>
      <c r="AF94" s="3">
        <v>1E-3</v>
      </c>
      <c r="AG94" s="3">
        <v>6.0000000000000001E-3</v>
      </c>
      <c r="AH94" s="3">
        <v>2.9999999999999997E-4</v>
      </c>
      <c r="AI94" s="3">
        <v>1.8E-3</v>
      </c>
      <c r="AJ94" s="3">
        <v>2.0000000000000001E-4</v>
      </c>
      <c r="AK94" s="3">
        <v>8.9999999999999998E-4</v>
      </c>
      <c r="AL94" s="3">
        <v>0.04</v>
      </c>
      <c r="AM94" s="3">
        <v>0.05</v>
      </c>
      <c r="AN94" s="3">
        <v>2E-3</v>
      </c>
      <c r="AO94" s="3">
        <v>7.0000000000000001E-3</v>
      </c>
      <c r="AP94" t="str">
        <f t="shared" si="1"/>
        <v>('430MINT', 0.007, 0.018, 0.23, 0.51, 0.001, 0.007, 0.017, 0.039, 0.09, 0.42, 0.12, 0.19, 16.03, 16.71, 0.03, 0.18, 0.01, 0.02, 0.001, 0.004, 0.03, 0.06, 0, 4, 0.009, 0.02, 0.0025, 0.0064, 0.0015, 0.0088, 0.001, 0.006, 0.0003, 0.0018, 0.0002, 0.0009, 0.04, 0.05, 0.002, 0.007),</v>
      </c>
    </row>
    <row r="95" spans="1:42" x14ac:dyDescent="0.2">
      <c r="A95" s="4" t="s">
        <v>132</v>
      </c>
      <c r="B95" s="4">
        <v>0.02</v>
      </c>
      <c r="C95" s="4">
        <v>0.14000000000000001</v>
      </c>
      <c r="D95" s="4">
        <v>6.68</v>
      </c>
      <c r="E95" s="4">
        <v>10.14</v>
      </c>
      <c r="F95" s="4">
        <v>1E-3</v>
      </c>
      <c r="G95" s="4">
        <v>8.0000000000000002E-3</v>
      </c>
      <c r="H95" s="4">
        <v>3.5000000000000003E-2</v>
      </c>
      <c r="I95" s="4">
        <v>9.2999999999999999E-2</v>
      </c>
      <c r="J95" s="4">
        <v>0.2</v>
      </c>
      <c r="K95" s="4">
        <v>0.55000000000000004</v>
      </c>
      <c r="L95" s="4">
        <v>0.8</v>
      </c>
      <c r="M95" s="4">
        <v>4.1100000000000003</v>
      </c>
      <c r="N95" s="4">
        <v>13.7</v>
      </c>
      <c r="O95" s="4">
        <v>16.5</v>
      </c>
      <c r="P95" s="4">
        <v>0.11</v>
      </c>
      <c r="Q95" s="4">
        <v>2.08</v>
      </c>
      <c r="R95" s="4">
        <v>0.03</v>
      </c>
      <c r="S95" s="4">
        <v>0.19</v>
      </c>
      <c r="T95" s="4">
        <v>1E-3</v>
      </c>
      <c r="U95" s="4">
        <v>7.0000000000000001E-3</v>
      </c>
      <c r="V95" s="4">
        <v>3.5000000000000003E-2</v>
      </c>
      <c r="W95" s="4">
        <v>0.08</v>
      </c>
      <c r="X95" s="4">
        <v>0</v>
      </c>
      <c r="Y95" s="4">
        <v>7.9</v>
      </c>
      <c r="Z95" s="4">
        <v>0.12</v>
      </c>
      <c r="AA95" s="4">
        <v>0.19800000000000001</v>
      </c>
      <c r="AB95" s="4">
        <v>2.0999999999999999E-3</v>
      </c>
      <c r="AC95" s="4">
        <v>8.0000000000000002E-3</v>
      </c>
      <c r="AD95" s="4">
        <v>2.5999999999999999E-3</v>
      </c>
      <c r="AE95" s="4">
        <v>1.9E-2</v>
      </c>
      <c r="AF95" s="4">
        <v>1E-3</v>
      </c>
      <c r="AG95" s="4">
        <v>8.5000000000000006E-3</v>
      </c>
      <c r="AH95" s="4">
        <v>1E-4</v>
      </c>
      <c r="AI95" s="4">
        <v>1.8E-3</v>
      </c>
      <c r="AJ95" s="4">
        <v>4.0000000000000002E-4</v>
      </c>
      <c r="AK95" s="4">
        <v>2.5999999999999999E-3</v>
      </c>
      <c r="AL95" s="4">
        <v>0.04</v>
      </c>
      <c r="AM95" s="4">
        <v>0.12</v>
      </c>
      <c r="AN95" s="4">
        <v>1E-3</v>
      </c>
      <c r="AO95" s="4">
        <v>3.9E-2</v>
      </c>
      <c r="AP95" t="str">
        <f t="shared" si="1"/>
        <v>('2062B', 0.02, 0.14, 6.68, 10.14, 0.001, 0.008, 0.035, 0.093, 0.2, 0.55, 0.8, 4.11, 13.7, 16.5, 0.11, 2.08, 0.03, 0.19, 0.001, 0.007, 0.035, 0.08, 0, 7.9, 0.12, 0.198, 0.0021, 0.008, 0.0026, 0.019, 0.001, 0.0085, 0.0001, 0.0018, 0.0004, 0.0026, 0.04, 0.12, 0.001, 0.039),</v>
      </c>
    </row>
    <row r="96" spans="1:42" x14ac:dyDescent="0.2">
      <c r="A96" s="3" t="s">
        <v>133</v>
      </c>
      <c r="B96" s="3">
        <v>0.02</v>
      </c>
      <c r="C96" s="3">
        <v>0.14000000000000001</v>
      </c>
      <c r="D96" s="3">
        <v>6.68</v>
      </c>
      <c r="E96" s="3">
        <v>10.14</v>
      </c>
      <c r="F96" s="3">
        <v>1E-3</v>
      </c>
      <c r="G96" s="3">
        <v>8.0000000000000002E-3</v>
      </c>
      <c r="H96" s="3">
        <v>3.5000000000000003E-2</v>
      </c>
      <c r="I96" s="3">
        <v>9.2999999999999999E-2</v>
      </c>
      <c r="J96" s="3">
        <v>0.2</v>
      </c>
      <c r="K96" s="3">
        <v>0.55000000000000004</v>
      </c>
      <c r="L96" s="3">
        <v>0.8</v>
      </c>
      <c r="M96" s="3">
        <v>4.1100000000000003</v>
      </c>
      <c r="N96" s="3">
        <v>13.7</v>
      </c>
      <c r="O96" s="3">
        <v>16.5</v>
      </c>
      <c r="P96" s="3">
        <v>0.11</v>
      </c>
      <c r="Q96" s="3">
        <v>2.08</v>
      </c>
      <c r="R96" s="3">
        <v>0.03</v>
      </c>
      <c r="S96" s="3">
        <v>0.19</v>
      </c>
      <c r="T96" s="3">
        <v>1E-3</v>
      </c>
      <c r="U96" s="3">
        <v>7.0000000000000001E-3</v>
      </c>
      <c r="V96" s="3">
        <v>3.5000000000000003E-2</v>
      </c>
      <c r="W96" s="3">
        <v>0.08</v>
      </c>
      <c r="X96" s="3">
        <v>0</v>
      </c>
      <c r="Y96" s="3">
        <v>7.9</v>
      </c>
      <c r="Z96" s="3">
        <v>0.12</v>
      </c>
      <c r="AA96" s="3">
        <v>0.19800000000000001</v>
      </c>
      <c r="AB96" s="3">
        <v>2.0999999999999999E-3</v>
      </c>
      <c r="AC96" s="3">
        <v>8.0000000000000002E-3</v>
      </c>
      <c r="AD96" s="3">
        <v>2.5999999999999999E-3</v>
      </c>
      <c r="AE96" s="3">
        <v>1.9E-2</v>
      </c>
      <c r="AF96" s="3">
        <v>1E-3</v>
      </c>
      <c r="AG96" s="3">
        <v>8.5000000000000006E-3</v>
      </c>
      <c r="AH96" s="3">
        <v>1E-4</v>
      </c>
      <c r="AI96" s="3">
        <v>1.8E-3</v>
      </c>
      <c r="AJ96" s="3">
        <v>4.0000000000000002E-4</v>
      </c>
      <c r="AK96" s="3">
        <v>2.5999999999999999E-3</v>
      </c>
      <c r="AL96" s="3">
        <v>0.04</v>
      </c>
      <c r="AM96" s="3">
        <v>0.12</v>
      </c>
      <c r="AN96" s="3">
        <v>1E-3</v>
      </c>
      <c r="AO96" s="3">
        <v>3.9E-2</v>
      </c>
      <c r="AP96" t="str">
        <f t="shared" si="1"/>
        <v>('J4L', 0.02, 0.14, 6.68, 10.14, 0.001, 0.008, 0.035, 0.093, 0.2, 0.55, 0.8, 4.11, 13.7, 16.5, 0.11, 2.08, 0.03, 0.19, 0.001, 0.007, 0.035, 0.08, 0, 7.9, 0.12, 0.198, 0.0021, 0.008, 0.0026, 0.019, 0.001, 0.0085, 0.0001, 0.0018, 0.0004, 0.0026, 0.04, 0.12, 0.001, 0.039),</v>
      </c>
    </row>
    <row r="97" spans="1:42" x14ac:dyDescent="0.2">
      <c r="A97" s="4" t="s">
        <v>0</v>
      </c>
      <c r="B97" s="4">
        <v>1.9E-2</v>
      </c>
      <c r="C97" s="4">
        <v>5.7000000000000002E-2</v>
      </c>
      <c r="D97" s="4">
        <v>1.18</v>
      </c>
      <c r="E97" s="4">
        <v>1.5</v>
      </c>
      <c r="F97" s="4">
        <v>1E-3</v>
      </c>
      <c r="G97" s="4">
        <v>7.0000000000000001E-3</v>
      </c>
      <c r="H97" s="4">
        <v>1.2E-2</v>
      </c>
      <c r="I97" s="4">
        <v>4.3999999999999997E-2</v>
      </c>
      <c r="J97" s="4">
        <v>0.18</v>
      </c>
      <c r="K97" s="4">
        <v>0.89</v>
      </c>
      <c r="L97" s="4">
        <v>8</v>
      </c>
      <c r="M97" s="4">
        <v>8.1300000000000008</v>
      </c>
      <c r="N97" s="4">
        <v>18</v>
      </c>
      <c r="O97" s="4">
        <v>18.48</v>
      </c>
      <c r="P97" s="4">
        <v>0.01</v>
      </c>
      <c r="Q97" s="4">
        <v>0.7</v>
      </c>
      <c r="R97" s="4">
        <v>0.01</v>
      </c>
      <c r="S97" s="4">
        <v>0.49</v>
      </c>
      <c r="T97" s="4">
        <v>1E-3</v>
      </c>
      <c r="U97" s="4">
        <v>5.0000000000000001E-3</v>
      </c>
      <c r="V97" s="4">
        <v>0</v>
      </c>
      <c r="W97" s="4">
        <v>0.13100000000000001</v>
      </c>
      <c r="X97" s="4">
        <v>0</v>
      </c>
      <c r="Y97" s="4">
        <v>7.4</v>
      </c>
      <c r="Z97" s="4">
        <v>4.7300000000000002E-2</v>
      </c>
      <c r="AA97" s="4">
        <v>8.2000000000000003E-2</v>
      </c>
      <c r="AB97" s="4">
        <v>6.9999999999999999E-4</v>
      </c>
      <c r="AC97" s="4">
        <v>7.4999999999999997E-3</v>
      </c>
      <c r="AD97" s="4">
        <v>1E-3</v>
      </c>
      <c r="AE97" s="4">
        <v>2.4899999999999999E-2</v>
      </c>
      <c r="AF97" s="4">
        <v>1E-3</v>
      </c>
      <c r="AG97" s="4">
        <v>8.0000000000000002E-3</v>
      </c>
      <c r="AH97" s="4">
        <v>0</v>
      </c>
      <c r="AI97" s="4">
        <v>1.8E-3</v>
      </c>
      <c r="AJ97" s="4">
        <v>1E-4</v>
      </c>
      <c r="AK97" s="4">
        <v>4.1000000000000003E-3</v>
      </c>
      <c r="AL97" s="4">
        <v>0.16</v>
      </c>
      <c r="AM97" s="4">
        <v>0.33</v>
      </c>
      <c r="AN97" s="4">
        <v>0</v>
      </c>
      <c r="AO97" s="4">
        <v>1.9E-2</v>
      </c>
      <c r="AP97" t="str">
        <f t="shared" si="1"/>
        <v>('EN1.4307', 0.019, 0.057, 1.18, 1.5, 0.001, 0.007, 0.012, 0.044, 0.18, 0.89, 8, 8.13, 18, 18.48, 0.01, 0.7, 0.01, 0.49, 0.001, 0.005, 0, 0.131, 0, 7.4, 0.0473, 0.082, 0.0007, 0.0075, 0.001, 0.0249, 0.001, 0.008, 0, 0.0018, 0.0001, 0.0041, 0.16, 0.33, 0, 0.019),</v>
      </c>
    </row>
    <row r="98" spans="1:42" x14ac:dyDescent="0.2">
      <c r="A98" s="3" t="s">
        <v>134</v>
      </c>
      <c r="B98" s="3">
        <v>8.9999999999999993E-3</v>
      </c>
      <c r="C98" s="3">
        <v>0.11899999999999999</v>
      </c>
      <c r="D98" s="3">
        <v>0.33</v>
      </c>
      <c r="E98" s="3">
        <v>1.9</v>
      </c>
      <c r="F98" s="3">
        <v>1E-3</v>
      </c>
      <c r="G98" s="3">
        <v>8.0000000000000002E-3</v>
      </c>
      <c r="H98" s="3">
        <v>2.1999999999999999E-2</v>
      </c>
      <c r="I98" s="3">
        <v>4.4999999999999998E-2</v>
      </c>
      <c r="J98" s="3">
        <v>0.18</v>
      </c>
      <c r="K98" s="3">
        <v>0.69</v>
      </c>
      <c r="L98" s="3">
        <v>6.31</v>
      </c>
      <c r="M98" s="3">
        <v>19.18</v>
      </c>
      <c r="N98" s="3">
        <v>16.03</v>
      </c>
      <c r="O98" s="3">
        <v>25.55</v>
      </c>
      <c r="P98" s="3">
        <v>0.01</v>
      </c>
      <c r="Q98" s="3">
        <v>0.7</v>
      </c>
      <c r="R98" s="3">
        <v>0.01</v>
      </c>
      <c r="S98" s="3">
        <v>2.15</v>
      </c>
      <c r="T98" s="3">
        <v>1E-3</v>
      </c>
      <c r="U98" s="3">
        <v>0.23</v>
      </c>
      <c r="V98" s="3">
        <v>7.1000000000000004E-3</v>
      </c>
      <c r="W98" s="3">
        <v>0.13100000000000001</v>
      </c>
      <c r="X98" s="3">
        <v>0</v>
      </c>
      <c r="Y98" s="3">
        <v>7.6</v>
      </c>
      <c r="Z98" s="3">
        <v>1.03E-2</v>
      </c>
      <c r="AA98" s="3">
        <v>0.14249999999999999</v>
      </c>
      <c r="AB98" s="3">
        <v>1.5E-3</v>
      </c>
      <c r="AC98" s="3">
        <v>8.0000000000000002E-3</v>
      </c>
      <c r="AD98" s="3">
        <v>1E-3</v>
      </c>
      <c r="AE98" s="3">
        <v>2.5000000000000001E-2</v>
      </c>
      <c r="AF98" s="3">
        <v>1E-3</v>
      </c>
      <c r="AG98" s="3">
        <v>6.5000000000000002E-2</v>
      </c>
      <c r="AH98" s="3">
        <v>2.0000000000000001E-4</v>
      </c>
      <c r="AI98" s="3">
        <v>3.5999999999999999E-3</v>
      </c>
      <c r="AJ98" s="3">
        <v>1E-4</v>
      </c>
      <c r="AK98" s="3">
        <v>4.1999999999999997E-3</v>
      </c>
      <c r="AL98" s="3">
        <v>0.15</v>
      </c>
      <c r="AM98" s="3">
        <v>0.42</v>
      </c>
      <c r="AN98" s="3">
        <v>1E-3</v>
      </c>
      <c r="AO98" s="3">
        <v>0.185</v>
      </c>
      <c r="AP98" t="str">
        <f t="shared" si="1"/>
        <v>('EN1.4401', 0.009, 0.119, 0.33, 1.9, 0.001, 0.008, 0.022, 0.045, 0.18, 0.69, 6.31, 19.18, 16.03, 25.55, 0.01, 0.7, 0.01, 2.15, 0.001, 0.23, 0.0071, 0.131, 0, 7.6, 0.0103, 0.1425, 0.0015, 0.008, 0.001, 0.025, 0.001, 0.065, 0.0002, 0.0036, 0.0001, 0.0042, 0.15, 0.42, 0.001, 0.185),</v>
      </c>
    </row>
    <row r="99" spans="1:42" x14ac:dyDescent="0.2">
      <c r="A99" s="4" t="s">
        <v>2</v>
      </c>
      <c r="B99" s="4">
        <v>1.6E-2</v>
      </c>
      <c r="C99" s="4">
        <v>0.03</v>
      </c>
      <c r="D99" s="4">
        <v>1.2</v>
      </c>
      <c r="E99" s="4">
        <v>1.4</v>
      </c>
      <c r="F99" s="4">
        <v>1E-3</v>
      </c>
      <c r="G99" s="4">
        <v>6.0000000000000001E-3</v>
      </c>
      <c r="H99" s="4">
        <v>1.2E-2</v>
      </c>
      <c r="I99" s="4">
        <v>4.4999999999999998E-2</v>
      </c>
      <c r="J99" s="4">
        <v>0.26</v>
      </c>
      <c r="K99" s="4">
        <v>0.71</v>
      </c>
      <c r="L99" s="4">
        <v>9.9</v>
      </c>
      <c r="M99" s="4">
        <v>10.1</v>
      </c>
      <c r="N99" s="4">
        <v>16.5</v>
      </c>
      <c r="O99" s="4">
        <v>16.95</v>
      </c>
      <c r="P99" s="4">
        <v>0.04</v>
      </c>
      <c r="Q99" s="4">
        <v>0.54</v>
      </c>
      <c r="R99" s="4">
        <v>2.0099999999999998</v>
      </c>
      <c r="S99" s="4">
        <v>2.15</v>
      </c>
      <c r="T99" s="4">
        <v>1E-3</v>
      </c>
      <c r="U99" s="4">
        <v>5.0000000000000001E-3</v>
      </c>
      <c r="V99" s="4">
        <v>0</v>
      </c>
      <c r="W99" s="4">
        <v>0.08</v>
      </c>
      <c r="X99" s="4">
        <v>0</v>
      </c>
      <c r="Y99" s="4">
        <v>7</v>
      </c>
      <c r="Z99" s="4">
        <v>0.02</v>
      </c>
      <c r="AA99" s="4">
        <v>5.1999999999999998E-2</v>
      </c>
      <c r="AB99" s="4">
        <v>5.9999999999999995E-4</v>
      </c>
      <c r="AC99" s="4">
        <v>7.0000000000000001E-3</v>
      </c>
      <c r="AD99" s="4">
        <v>1E-3</v>
      </c>
      <c r="AE99" s="4">
        <v>1.7000000000000001E-2</v>
      </c>
      <c r="AF99" s="4">
        <v>2E-3</v>
      </c>
      <c r="AG99" s="4">
        <v>0.01</v>
      </c>
      <c r="AH99" s="4">
        <v>0</v>
      </c>
      <c r="AI99" s="4">
        <v>2E-3</v>
      </c>
      <c r="AJ99" s="4">
        <v>1E-4</v>
      </c>
      <c r="AK99" s="4">
        <v>4.1999999999999997E-3</v>
      </c>
      <c r="AL99" s="4">
        <v>0.21</v>
      </c>
      <c r="AM99" s="4">
        <v>0.33</v>
      </c>
      <c r="AN99" s="4">
        <v>0</v>
      </c>
      <c r="AO99" s="4">
        <v>6.2E-2</v>
      </c>
      <c r="AP99" t="str">
        <f t="shared" si="1"/>
        <v>('EN1.4404', 0.016, 0.03, 1.2, 1.4, 0.001, 0.006, 0.012, 0.045, 0.26, 0.71, 9.9, 10.1, 16.5, 16.95, 0.04, 0.54, 2.01, 2.15, 0.001, 0.005, 0, 0.08, 0, 7, 0.02, 0.052, 0.0006, 0.007, 0.001, 0.017, 0.002, 0.01, 0, 0.002, 0.0001, 0.0042, 0.21, 0.33, 0, 0.062),</v>
      </c>
    </row>
    <row r="100" spans="1:42" x14ac:dyDescent="0.2">
      <c r="A100" s="3" t="s">
        <v>1</v>
      </c>
      <c r="B100" s="3">
        <v>0.04</v>
      </c>
      <c r="C100" s="3">
        <v>6.5000000000000002E-2</v>
      </c>
      <c r="D100" s="3">
        <v>0.9</v>
      </c>
      <c r="E100" s="3">
        <v>1.1000000000000001</v>
      </c>
      <c r="F100" s="3">
        <v>1E-3</v>
      </c>
      <c r="G100" s="3">
        <v>5.0000000000000001E-3</v>
      </c>
      <c r="H100" s="3">
        <v>2.3E-2</v>
      </c>
      <c r="I100" s="3">
        <v>4.3999999999999997E-2</v>
      </c>
      <c r="J100" s="3">
        <v>0.3</v>
      </c>
      <c r="K100" s="3">
        <v>0.5</v>
      </c>
      <c r="L100" s="3">
        <v>8</v>
      </c>
      <c r="M100" s="3">
        <v>8.1300000000000008</v>
      </c>
      <c r="N100" s="3">
        <v>18</v>
      </c>
      <c r="O100" s="3">
        <v>18.36</v>
      </c>
      <c r="P100" s="3">
        <v>0.02</v>
      </c>
      <c r="Q100" s="3">
        <v>0.7</v>
      </c>
      <c r="R100" s="3">
        <v>0.01</v>
      </c>
      <c r="S100" s="3">
        <v>0.35</v>
      </c>
      <c r="T100" s="3">
        <v>2E-3</v>
      </c>
      <c r="U100" s="3">
        <v>5.0000000000000001E-3</v>
      </c>
      <c r="V100" s="3">
        <v>0</v>
      </c>
      <c r="W100" s="3">
        <v>3.0000000000000001E-3</v>
      </c>
      <c r="X100" s="3">
        <v>0</v>
      </c>
      <c r="Y100" s="3">
        <v>7</v>
      </c>
      <c r="Z100" s="3">
        <v>2.75E-2</v>
      </c>
      <c r="AA100" s="3">
        <v>0.06</v>
      </c>
      <c r="AB100" s="3">
        <v>1E-4</v>
      </c>
      <c r="AC100" s="3">
        <v>2.0999999999999999E-3</v>
      </c>
      <c r="AD100" s="3">
        <v>6.9999999999999999E-4</v>
      </c>
      <c r="AE100" s="3">
        <v>2.3999999999999998E-3</v>
      </c>
      <c r="AF100" s="3">
        <v>4.0000000000000001E-3</v>
      </c>
      <c r="AG100" s="3">
        <v>4.0000000000000001E-3</v>
      </c>
      <c r="AH100" s="3">
        <v>0</v>
      </c>
      <c r="AI100" s="3">
        <v>0</v>
      </c>
      <c r="AJ100" s="3">
        <v>1E-3</v>
      </c>
      <c r="AK100" s="3">
        <v>4.1000000000000003E-3</v>
      </c>
      <c r="AL100" s="3">
        <v>0.22</v>
      </c>
      <c r="AM100" s="3">
        <v>0.31</v>
      </c>
      <c r="AN100" s="3">
        <v>0</v>
      </c>
      <c r="AO100" s="3">
        <v>3.0000000000000001E-3</v>
      </c>
      <c r="AP100" t="str">
        <f t="shared" si="1"/>
        <v>('EN1.4301', 0.04, 0.065, 0.9, 1.1, 0.001, 0.005, 0.023, 0.044, 0.3, 0.5, 8, 8.13, 18, 18.36, 0.02, 0.7, 0.01, 0.35, 0.002, 0.005, 0, 0.003, 0, 7, 0.0275, 0.06, 0.0001, 0.0021, 0.0007, 0.0024, 0.004, 0.004, 0, 0, 0.001, 0.0041, 0.22, 0.31, 0, 0.003),</v>
      </c>
    </row>
    <row r="101" spans="1:42" x14ac:dyDescent="0.2">
      <c r="A101" s="4" t="s">
        <v>135</v>
      </c>
      <c r="B101" s="4">
        <v>8.9999999999999993E-3</v>
      </c>
      <c r="C101" s="4">
        <v>0.11899999999999999</v>
      </c>
      <c r="D101" s="4">
        <v>0.33</v>
      </c>
      <c r="E101" s="4">
        <v>1.9</v>
      </c>
      <c r="F101" s="4">
        <v>1E-3</v>
      </c>
      <c r="G101" s="4">
        <v>8.0000000000000002E-3</v>
      </c>
      <c r="H101" s="4">
        <v>2.1999999999999999E-2</v>
      </c>
      <c r="I101" s="4">
        <v>4.4999999999999998E-2</v>
      </c>
      <c r="J101" s="4">
        <v>0.18</v>
      </c>
      <c r="K101" s="4">
        <v>0.69</v>
      </c>
      <c r="L101" s="4">
        <v>6.31</v>
      </c>
      <c r="M101" s="4">
        <v>19.18</v>
      </c>
      <c r="N101" s="4">
        <v>16.03</v>
      </c>
      <c r="O101" s="4">
        <v>25.55</v>
      </c>
      <c r="P101" s="4">
        <v>0.01</v>
      </c>
      <c r="Q101" s="4">
        <v>0.7</v>
      </c>
      <c r="R101" s="4">
        <v>0.01</v>
      </c>
      <c r="S101" s="4">
        <v>2.15</v>
      </c>
      <c r="T101" s="4">
        <v>1E-3</v>
      </c>
      <c r="U101" s="4">
        <v>0.23</v>
      </c>
      <c r="V101" s="4">
        <v>7.1000000000000004E-3</v>
      </c>
      <c r="W101" s="4">
        <v>0.13100000000000001</v>
      </c>
      <c r="X101" s="4">
        <v>0</v>
      </c>
      <c r="Y101" s="4">
        <v>7.6</v>
      </c>
      <c r="Z101" s="4">
        <v>1.03E-2</v>
      </c>
      <c r="AA101" s="4">
        <v>0.14249999999999999</v>
      </c>
      <c r="AB101" s="4">
        <v>1.5E-3</v>
      </c>
      <c r="AC101" s="4">
        <v>8.0000000000000002E-3</v>
      </c>
      <c r="AD101" s="4">
        <v>1E-3</v>
      </c>
      <c r="AE101" s="4">
        <v>2.5000000000000001E-2</v>
      </c>
      <c r="AF101" s="4">
        <v>1E-3</v>
      </c>
      <c r="AG101" s="4">
        <v>6.5000000000000002E-2</v>
      </c>
      <c r="AH101" s="4">
        <v>2.0000000000000001E-4</v>
      </c>
      <c r="AI101" s="4">
        <v>3.5999999999999999E-3</v>
      </c>
      <c r="AJ101" s="4">
        <v>1E-4</v>
      </c>
      <c r="AK101" s="4">
        <v>4.1999999999999997E-3</v>
      </c>
      <c r="AL101" s="4">
        <v>0.15</v>
      </c>
      <c r="AM101" s="4">
        <v>0.42</v>
      </c>
      <c r="AN101" s="4">
        <v>1E-3</v>
      </c>
      <c r="AO101" s="4">
        <v>0.185</v>
      </c>
      <c r="AP101" t="str">
        <f t="shared" si="1"/>
        <v>('RB200', 0.009, 0.119, 0.33, 1.9, 0.001, 0.008, 0.022, 0.045, 0.18, 0.69, 6.31, 19.18, 16.03, 25.55, 0.01, 0.7, 0.01, 2.15, 0.001, 0.23, 0.0071, 0.131, 0, 7.6, 0.0103, 0.1425, 0.0015, 0.008, 0.001, 0.025, 0.001, 0.065, 0.0002, 0.0036, 0.0001, 0.0042, 0.15, 0.42, 0.001, 0.185),</v>
      </c>
    </row>
    <row r="102" spans="1:42" x14ac:dyDescent="0.2">
      <c r="A102" s="3">
        <v>430</v>
      </c>
      <c r="B102" s="3">
        <v>3.1E-2</v>
      </c>
      <c r="C102" s="3">
        <v>6.3E-2</v>
      </c>
      <c r="D102" s="3">
        <v>0.2</v>
      </c>
      <c r="E102" s="3">
        <v>0.7</v>
      </c>
      <c r="F102" s="3">
        <v>1E-3</v>
      </c>
      <c r="G102" s="3">
        <v>8.0000000000000002E-3</v>
      </c>
      <c r="H102" s="3">
        <v>2.9000000000000001E-2</v>
      </c>
      <c r="I102" s="3">
        <v>0.04</v>
      </c>
      <c r="J102" s="3">
        <v>0.18</v>
      </c>
      <c r="K102" s="3">
        <v>0.39</v>
      </c>
      <c r="L102" s="3">
        <v>0.09</v>
      </c>
      <c r="M102" s="3">
        <v>0.34</v>
      </c>
      <c r="N102" s="3">
        <v>16.02</v>
      </c>
      <c r="O102" s="3">
        <v>16.38</v>
      </c>
      <c r="P102" s="3">
        <v>0.03</v>
      </c>
      <c r="Q102" s="3">
        <v>0.2</v>
      </c>
      <c r="R102" s="3">
        <v>0.01</v>
      </c>
      <c r="S102" s="3">
        <v>0.04</v>
      </c>
      <c r="T102" s="3">
        <v>1E-3</v>
      </c>
      <c r="U102" s="3">
        <v>0.01</v>
      </c>
      <c r="V102" s="3">
        <v>2.5000000000000001E-2</v>
      </c>
      <c r="W102" s="3">
        <v>5.0999999999999997E-2</v>
      </c>
      <c r="X102" s="3">
        <v>0</v>
      </c>
      <c r="Y102" s="3">
        <v>4.7</v>
      </c>
      <c r="Z102" s="3">
        <v>0.02</v>
      </c>
      <c r="AA102" s="3">
        <v>0.04</v>
      </c>
      <c r="AB102" s="3">
        <v>2.2000000000000001E-3</v>
      </c>
      <c r="AC102" s="3">
        <v>7.4999999999999997E-3</v>
      </c>
      <c r="AD102" s="3">
        <v>2E-3</v>
      </c>
      <c r="AE102" s="3">
        <v>9.4000000000000004E-3</v>
      </c>
      <c r="AF102" s="3">
        <v>1.77E-2</v>
      </c>
      <c r="AG102" s="3">
        <v>8.2000000000000003E-2</v>
      </c>
      <c r="AH102" s="3">
        <v>1E-4</v>
      </c>
      <c r="AI102" s="3">
        <v>2E-3</v>
      </c>
      <c r="AJ102" s="3">
        <v>1E-4</v>
      </c>
      <c r="AK102" s="3">
        <v>2.7000000000000001E-3</v>
      </c>
      <c r="AL102" s="3">
        <v>0.03</v>
      </c>
      <c r="AM102" s="3">
        <v>0.06</v>
      </c>
      <c r="AN102" s="3">
        <v>1E-3</v>
      </c>
      <c r="AO102" s="3">
        <v>8.0000000000000002E-3</v>
      </c>
      <c r="AP102" t="str">
        <f t="shared" si="1"/>
        <v>('430', 0.031, 0.063, 0.2, 0.7, 0.001, 0.008, 0.029, 0.04, 0.18, 0.39, 0.09, 0.34, 16.02, 16.38, 0.03, 0.2, 0.01, 0.04, 0.001, 0.01, 0.025, 0.051, 0, 4.7, 0.02, 0.04, 0.0022, 0.0075, 0.002, 0.0094, 0.0177, 0.082, 0.0001, 0.002, 0.0001, 0.0027, 0.03, 0.06, 0.001, 0.008),</v>
      </c>
    </row>
    <row r="103" spans="1:42" x14ac:dyDescent="0.2">
      <c r="A103" s="4" t="s">
        <v>136</v>
      </c>
      <c r="B103" s="4">
        <v>8.9999999999999993E-3</v>
      </c>
      <c r="C103" s="4">
        <v>0.11899999999999999</v>
      </c>
      <c r="D103" s="4">
        <v>0.33</v>
      </c>
      <c r="E103" s="4">
        <v>1.9</v>
      </c>
      <c r="F103" s="4">
        <v>1E-3</v>
      </c>
      <c r="G103" s="4">
        <v>8.0000000000000002E-3</v>
      </c>
      <c r="H103" s="4">
        <v>2.1999999999999999E-2</v>
      </c>
      <c r="I103" s="4">
        <v>4.4999999999999998E-2</v>
      </c>
      <c r="J103" s="4">
        <v>0.18</v>
      </c>
      <c r="K103" s="4">
        <v>0.69</v>
      </c>
      <c r="L103" s="4">
        <v>6.31</v>
      </c>
      <c r="M103" s="4">
        <v>19.18</v>
      </c>
      <c r="N103" s="4">
        <v>16.03</v>
      </c>
      <c r="O103" s="4">
        <v>25.55</v>
      </c>
      <c r="P103" s="4">
        <v>0.01</v>
      </c>
      <c r="Q103" s="4">
        <v>0.7</v>
      </c>
      <c r="R103" s="4">
        <v>0.01</v>
      </c>
      <c r="S103" s="4">
        <v>2.15</v>
      </c>
      <c r="T103" s="4">
        <v>1E-3</v>
      </c>
      <c r="U103" s="4">
        <v>0.23</v>
      </c>
      <c r="V103" s="4">
        <v>7.1000000000000004E-3</v>
      </c>
      <c r="W103" s="4">
        <v>0.13100000000000001</v>
      </c>
      <c r="X103" s="4">
        <v>0</v>
      </c>
      <c r="Y103" s="4">
        <v>7.6</v>
      </c>
      <c r="Z103" s="4">
        <v>1.03E-2</v>
      </c>
      <c r="AA103" s="4">
        <v>0.14249999999999999</v>
      </c>
      <c r="AB103" s="4">
        <v>1.5E-3</v>
      </c>
      <c r="AC103" s="4">
        <v>8.0000000000000002E-3</v>
      </c>
      <c r="AD103" s="4">
        <v>1E-3</v>
      </c>
      <c r="AE103" s="4">
        <v>2.5000000000000001E-2</v>
      </c>
      <c r="AF103" s="4">
        <v>1E-3</v>
      </c>
      <c r="AG103" s="4">
        <v>6.5000000000000002E-2</v>
      </c>
      <c r="AH103" s="4">
        <v>2.0000000000000001E-4</v>
      </c>
      <c r="AI103" s="4">
        <v>3.5999999999999999E-3</v>
      </c>
      <c r="AJ103" s="4">
        <v>1E-4</v>
      </c>
      <c r="AK103" s="4">
        <v>4.1999999999999997E-3</v>
      </c>
      <c r="AL103" s="4">
        <v>0.15</v>
      </c>
      <c r="AM103" s="4">
        <v>0.42</v>
      </c>
      <c r="AN103" s="4">
        <v>1E-3</v>
      </c>
      <c r="AO103" s="4">
        <v>0.185</v>
      </c>
      <c r="AP103" t="str">
        <f t="shared" si="1"/>
        <v>('EN1.4318', 0.009, 0.119, 0.33, 1.9, 0.001, 0.008, 0.022, 0.045, 0.18, 0.69, 6.31, 19.18, 16.03, 25.55, 0.01, 0.7, 0.01, 2.15, 0.001, 0.23, 0.0071, 0.131, 0, 7.6, 0.0103, 0.1425, 0.0015, 0.008, 0.001, 0.025, 0.001, 0.065, 0.0002, 0.0036, 0.0001, 0.0042, 0.15, 0.42, 0.001, 0.185),</v>
      </c>
    </row>
    <row r="104" spans="1:42" x14ac:dyDescent="0.2">
      <c r="A104" s="3" t="s">
        <v>137</v>
      </c>
      <c r="B104" s="3">
        <v>0.02</v>
      </c>
      <c r="C104" s="3">
        <v>0.14000000000000001</v>
      </c>
      <c r="D104" s="3">
        <v>6.68</v>
      </c>
      <c r="E104" s="3">
        <v>10.14</v>
      </c>
      <c r="F104" s="3">
        <v>1E-3</v>
      </c>
      <c r="G104" s="3">
        <v>8.0000000000000002E-3</v>
      </c>
      <c r="H104" s="3">
        <v>3.5000000000000003E-2</v>
      </c>
      <c r="I104" s="3">
        <v>9.2999999999999999E-2</v>
      </c>
      <c r="J104" s="3">
        <v>0.2</v>
      </c>
      <c r="K104" s="3">
        <v>0.55000000000000004</v>
      </c>
      <c r="L104" s="3">
        <v>0.8</v>
      </c>
      <c r="M104" s="3">
        <v>4.1100000000000003</v>
      </c>
      <c r="N104" s="3">
        <v>13.7</v>
      </c>
      <c r="O104" s="3">
        <v>16.5</v>
      </c>
      <c r="P104" s="3">
        <v>0.11</v>
      </c>
      <c r="Q104" s="3">
        <v>2.08</v>
      </c>
      <c r="R104" s="3">
        <v>0.03</v>
      </c>
      <c r="S104" s="3">
        <v>0.19</v>
      </c>
      <c r="T104" s="3">
        <v>1E-3</v>
      </c>
      <c r="U104" s="3">
        <v>7.0000000000000001E-3</v>
      </c>
      <c r="V104" s="3">
        <v>3.5000000000000003E-2</v>
      </c>
      <c r="W104" s="3">
        <v>0.08</v>
      </c>
      <c r="X104" s="3">
        <v>0</v>
      </c>
      <c r="Y104" s="3">
        <v>7.9</v>
      </c>
      <c r="Z104" s="3">
        <v>0.12</v>
      </c>
      <c r="AA104" s="3">
        <v>0.19800000000000001</v>
      </c>
      <c r="AB104" s="3">
        <v>2.0999999999999999E-3</v>
      </c>
      <c r="AC104" s="3">
        <v>8.0000000000000002E-3</v>
      </c>
      <c r="AD104" s="3">
        <v>2.5999999999999999E-3</v>
      </c>
      <c r="AE104" s="3">
        <v>1.9E-2</v>
      </c>
      <c r="AF104" s="3">
        <v>1E-3</v>
      </c>
      <c r="AG104" s="3">
        <v>8.5000000000000006E-3</v>
      </c>
      <c r="AH104" s="3">
        <v>1E-4</v>
      </c>
      <c r="AI104" s="3">
        <v>1.8E-3</v>
      </c>
      <c r="AJ104" s="3">
        <v>4.0000000000000002E-4</v>
      </c>
      <c r="AK104" s="3">
        <v>2.5999999999999999E-3</v>
      </c>
      <c r="AL104" s="3">
        <v>0.04</v>
      </c>
      <c r="AM104" s="3">
        <v>0.12</v>
      </c>
      <c r="AN104" s="3">
        <v>1E-3</v>
      </c>
      <c r="AO104" s="3">
        <v>3.9E-2</v>
      </c>
      <c r="AP104" t="str">
        <f t="shared" si="1"/>
        <v>('JSLU-SD Ni', 0.02, 0.14, 6.68, 10.14, 0.001, 0.008, 0.035, 0.093, 0.2, 0.55, 0.8, 4.11, 13.7, 16.5, 0.11, 2.08, 0.03, 0.19, 0.001, 0.007, 0.035, 0.08, 0, 7.9, 0.12, 0.198, 0.0021, 0.008, 0.0026, 0.019, 0.001, 0.0085, 0.0001, 0.0018, 0.0004, 0.0026, 0.04, 0.12, 0.001, 0.039),</v>
      </c>
    </row>
    <row r="105" spans="1:42" x14ac:dyDescent="0.2">
      <c r="A105" s="4" t="s">
        <v>138</v>
      </c>
      <c r="B105" s="4">
        <v>2.1000000000000001E-2</v>
      </c>
      <c r="C105" s="4">
        <v>0.03</v>
      </c>
      <c r="D105" s="4">
        <v>0.82</v>
      </c>
      <c r="E105" s="4">
        <v>1.01</v>
      </c>
      <c r="F105" s="4">
        <v>2E-3</v>
      </c>
      <c r="G105" s="4">
        <v>8.9999999999999993E-3</v>
      </c>
      <c r="H105" s="4">
        <v>2.8000000000000001E-2</v>
      </c>
      <c r="I105" s="4">
        <v>0.04</v>
      </c>
      <c r="J105" s="4">
        <v>0.35</v>
      </c>
      <c r="K105" s="4">
        <v>0.69</v>
      </c>
      <c r="L105" s="4">
        <v>0.32</v>
      </c>
      <c r="M105" s="4">
        <v>0.52</v>
      </c>
      <c r="N105" s="4">
        <v>11.1</v>
      </c>
      <c r="O105" s="4">
        <v>11.5</v>
      </c>
      <c r="P105" s="4">
        <v>0.04</v>
      </c>
      <c r="Q105" s="4">
        <v>0.71</v>
      </c>
      <c r="R105" s="4">
        <v>0.01</v>
      </c>
      <c r="S105" s="4">
        <v>0.06</v>
      </c>
      <c r="T105" s="4">
        <v>1E-3</v>
      </c>
      <c r="U105" s="4">
        <v>4.0000000000000001E-3</v>
      </c>
      <c r="V105" s="4">
        <v>0</v>
      </c>
      <c r="W105" s="4">
        <v>4.4999999999999998E-2</v>
      </c>
      <c r="X105" s="4">
        <v>0</v>
      </c>
      <c r="Y105" s="4">
        <v>4</v>
      </c>
      <c r="Z105" s="4">
        <v>7.4000000000000003E-3</v>
      </c>
      <c r="AA105" s="4">
        <v>0.03</v>
      </c>
      <c r="AB105" s="4">
        <v>2.5999999999999999E-3</v>
      </c>
      <c r="AC105" s="4">
        <v>6.0000000000000001E-3</v>
      </c>
      <c r="AD105" s="4">
        <v>2E-3</v>
      </c>
      <c r="AE105" s="4">
        <v>2.9499999999999998E-2</v>
      </c>
      <c r="AF105" s="4">
        <v>1.8E-3</v>
      </c>
      <c r="AG105" s="4">
        <v>6.0000000000000001E-3</v>
      </c>
      <c r="AH105" s="4">
        <v>1E-4</v>
      </c>
      <c r="AI105" s="4">
        <v>1.6999999999999999E-3</v>
      </c>
      <c r="AJ105" s="4">
        <v>2E-3</v>
      </c>
      <c r="AK105" s="4">
        <v>4.0000000000000001E-3</v>
      </c>
      <c r="AL105" s="4">
        <v>0.02</v>
      </c>
      <c r="AM105" s="4">
        <v>0.08</v>
      </c>
      <c r="AN105" s="4">
        <v>0</v>
      </c>
      <c r="AO105" s="4">
        <v>1.2E-2</v>
      </c>
      <c r="AP105" t="str">
        <f t="shared" si="1"/>
        <v>('X2CRNI12', 0.021, 0.03, 0.82, 1.01, 0.002, 0.009, 0.028, 0.04, 0.35, 0.69, 0.32, 0.52, 11.1, 11.5, 0.04, 0.71, 0.01, 0.06, 0.001, 0.004, 0, 0.045, 0, 4, 0.0074, 0.03, 0.0026, 0.006, 0.002, 0.0295, 0.0018, 0.006, 0.0001, 0.0017, 0.002, 0.004, 0.02, 0.08, 0, 0.012),</v>
      </c>
    </row>
    <row r="106" spans="1:42" x14ac:dyDescent="0.2">
      <c r="A106" s="3">
        <v>441</v>
      </c>
      <c r="B106" s="3">
        <v>7.0000000000000001E-3</v>
      </c>
      <c r="C106" s="3">
        <v>1.4E-2</v>
      </c>
      <c r="D106" s="3">
        <v>0.2</v>
      </c>
      <c r="E106" s="3">
        <v>0.5</v>
      </c>
      <c r="F106" s="3">
        <v>1E-3</v>
      </c>
      <c r="G106" s="3">
        <v>3.0000000000000001E-3</v>
      </c>
      <c r="H106" s="3">
        <v>2.9000000000000001E-2</v>
      </c>
      <c r="I106" s="3">
        <v>0.04</v>
      </c>
      <c r="J106" s="3">
        <v>0.26</v>
      </c>
      <c r="K106" s="3">
        <v>0.46</v>
      </c>
      <c r="L106" s="3">
        <v>0.13</v>
      </c>
      <c r="M106" s="3">
        <v>0.31</v>
      </c>
      <c r="N106" s="3">
        <v>17.55</v>
      </c>
      <c r="O106" s="3">
        <v>18.5</v>
      </c>
      <c r="P106" s="3">
        <v>0.02</v>
      </c>
      <c r="Q106" s="3">
        <v>0.2</v>
      </c>
      <c r="R106" s="3">
        <v>0.01</v>
      </c>
      <c r="S106" s="3">
        <v>0.06</v>
      </c>
      <c r="T106" s="3">
        <v>0.11</v>
      </c>
      <c r="U106" s="3">
        <v>0.25</v>
      </c>
      <c r="V106" s="3">
        <v>3.4000000000000002E-2</v>
      </c>
      <c r="W106" s="3">
        <v>7.0000000000000007E-2</v>
      </c>
      <c r="X106" s="3">
        <v>0</v>
      </c>
      <c r="Y106" s="3">
        <v>4.3</v>
      </c>
      <c r="Z106" s="3">
        <v>3.0000000000000001E-3</v>
      </c>
      <c r="AA106" s="3">
        <v>1.5599999999999999E-2</v>
      </c>
      <c r="AB106" s="3">
        <v>3.0000000000000001E-3</v>
      </c>
      <c r="AC106" s="3">
        <v>7.0000000000000001E-3</v>
      </c>
      <c r="AD106" s="3">
        <v>3.3999999999999998E-3</v>
      </c>
      <c r="AE106" s="3">
        <v>1.89E-2</v>
      </c>
      <c r="AF106" s="3">
        <v>0.01</v>
      </c>
      <c r="AG106" s="3">
        <v>0.05</v>
      </c>
      <c r="AH106" s="3">
        <v>2.9999999999999997E-4</v>
      </c>
      <c r="AI106" s="3">
        <v>1.8E-3</v>
      </c>
      <c r="AJ106" s="3">
        <v>2.0000000000000001E-4</v>
      </c>
      <c r="AK106" s="3">
        <v>8.0000000000000004E-4</v>
      </c>
      <c r="AL106" s="3">
        <v>0.04</v>
      </c>
      <c r="AM106" s="3">
        <v>0.06</v>
      </c>
      <c r="AN106" s="3">
        <v>0.33</v>
      </c>
      <c r="AO106" s="3">
        <v>0.5</v>
      </c>
      <c r="AP106" t="str">
        <f t="shared" si="1"/>
        <v>('441', 0.007, 0.014, 0.2, 0.5, 0.001, 0.003, 0.029, 0.04, 0.26, 0.46, 0.13, 0.31, 17.55, 18.5, 0.02, 0.2, 0.01, 0.06, 0.11, 0.25, 0.034, 0.07, 0, 4.3, 0.003, 0.0156, 0.003, 0.007, 0.0034, 0.0189, 0.01, 0.05, 0.0003, 0.0018, 0.0002, 0.0008, 0.04, 0.06, 0.33, 0.5),</v>
      </c>
    </row>
    <row r="107" spans="1:42" x14ac:dyDescent="0.2">
      <c r="A107" s="4" t="s">
        <v>139</v>
      </c>
      <c r="B107" s="4">
        <v>8.9999999999999993E-3</v>
      </c>
      <c r="C107" s="4">
        <v>0.11899999999999999</v>
      </c>
      <c r="D107" s="4">
        <v>0.33</v>
      </c>
      <c r="E107" s="4">
        <v>1.9</v>
      </c>
      <c r="F107" s="4">
        <v>1E-3</v>
      </c>
      <c r="G107" s="4">
        <v>8.0000000000000002E-3</v>
      </c>
      <c r="H107" s="4">
        <v>2.1999999999999999E-2</v>
      </c>
      <c r="I107" s="4">
        <v>4.4999999999999998E-2</v>
      </c>
      <c r="J107" s="4">
        <v>0.18</v>
      </c>
      <c r="K107" s="4">
        <v>0.69</v>
      </c>
      <c r="L107" s="4">
        <v>6.31</v>
      </c>
      <c r="M107" s="4">
        <v>19.18</v>
      </c>
      <c r="N107" s="4">
        <v>16.03</v>
      </c>
      <c r="O107" s="4">
        <v>25.55</v>
      </c>
      <c r="P107" s="4">
        <v>0.01</v>
      </c>
      <c r="Q107" s="4">
        <v>0.7</v>
      </c>
      <c r="R107" s="4">
        <v>0.01</v>
      </c>
      <c r="S107" s="4">
        <v>2.15</v>
      </c>
      <c r="T107" s="4">
        <v>1E-3</v>
      </c>
      <c r="U107" s="4">
        <v>0.23</v>
      </c>
      <c r="V107" s="4">
        <v>7.1000000000000004E-3</v>
      </c>
      <c r="W107" s="4">
        <v>0.13100000000000001</v>
      </c>
      <c r="X107" s="4">
        <v>0</v>
      </c>
      <c r="Y107" s="4">
        <v>7.6</v>
      </c>
      <c r="Z107" s="4">
        <v>1.03E-2</v>
      </c>
      <c r="AA107" s="4">
        <v>0.14249999999999999</v>
      </c>
      <c r="AB107" s="4">
        <v>1.5E-3</v>
      </c>
      <c r="AC107" s="4">
        <v>8.0000000000000002E-3</v>
      </c>
      <c r="AD107" s="4">
        <v>1E-3</v>
      </c>
      <c r="AE107" s="4">
        <v>2.5000000000000001E-2</v>
      </c>
      <c r="AF107" s="4">
        <v>1E-3</v>
      </c>
      <c r="AG107" s="4">
        <v>6.5000000000000002E-2</v>
      </c>
      <c r="AH107" s="4">
        <v>2.0000000000000001E-4</v>
      </c>
      <c r="AI107" s="4">
        <v>3.5999999999999999E-3</v>
      </c>
      <c r="AJ107" s="4">
        <v>1E-4</v>
      </c>
      <c r="AK107" s="4">
        <v>4.1999999999999997E-3</v>
      </c>
      <c r="AL107" s="4">
        <v>0.15</v>
      </c>
      <c r="AM107" s="4">
        <v>0.42</v>
      </c>
      <c r="AN107" s="4">
        <v>1E-3</v>
      </c>
      <c r="AO107" s="4">
        <v>0.185</v>
      </c>
      <c r="AP107" t="str">
        <f t="shared" si="1"/>
        <v>('304L CO&lt;0.025%', 0.009, 0.119, 0.33, 1.9, 0.001, 0.008, 0.022, 0.045, 0.18, 0.69, 6.31, 19.18, 16.03, 25.55, 0.01, 0.7, 0.01, 2.15, 0.001, 0.23, 0.0071, 0.131, 0, 7.6, 0.0103, 0.1425, 0.0015, 0.008, 0.001, 0.025, 0.001, 0.065, 0.0002, 0.0036, 0.0001, 0.0042, 0.15, 0.42, 0.001, 0.185),</v>
      </c>
    </row>
    <row r="108" spans="1:42" x14ac:dyDescent="0.2">
      <c r="A108" s="3" t="s">
        <v>140</v>
      </c>
      <c r="B108" s="3">
        <v>8.9999999999999993E-3</v>
      </c>
      <c r="C108" s="3">
        <v>0.11899999999999999</v>
      </c>
      <c r="D108" s="3">
        <v>0.33</v>
      </c>
      <c r="E108" s="3">
        <v>1.9</v>
      </c>
      <c r="F108" s="3">
        <v>1E-3</v>
      </c>
      <c r="G108" s="3">
        <v>8.0000000000000002E-3</v>
      </c>
      <c r="H108" s="3">
        <v>2.1999999999999999E-2</v>
      </c>
      <c r="I108" s="3">
        <v>4.4999999999999998E-2</v>
      </c>
      <c r="J108" s="3">
        <v>0.18</v>
      </c>
      <c r="K108" s="3">
        <v>0.69</v>
      </c>
      <c r="L108" s="3">
        <v>6.31</v>
      </c>
      <c r="M108" s="3">
        <v>19.18</v>
      </c>
      <c r="N108" s="3">
        <v>16.03</v>
      </c>
      <c r="O108" s="3">
        <v>25.55</v>
      </c>
      <c r="P108" s="3">
        <v>0.01</v>
      </c>
      <c r="Q108" s="3">
        <v>0.7</v>
      </c>
      <c r="R108" s="3">
        <v>0.01</v>
      </c>
      <c r="S108" s="3">
        <v>2.15</v>
      </c>
      <c r="T108" s="3">
        <v>1E-3</v>
      </c>
      <c r="U108" s="3">
        <v>0.23</v>
      </c>
      <c r="V108" s="3">
        <v>7.1000000000000004E-3</v>
      </c>
      <c r="W108" s="3">
        <v>0.13100000000000001</v>
      </c>
      <c r="X108" s="3">
        <v>0</v>
      </c>
      <c r="Y108" s="3">
        <v>7.6</v>
      </c>
      <c r="Z108" s="3">
        <v>1.03E-2</v>
      </c>
      <c r="AA108" s="3">
        <v>0.14249999999999999</v>
      </c>
      <c r="AB108" s="3">
        <v>1.5E-3</v>
      </c>
      <c r="AC108" s="3">
        <v>8.0000000000000002E-3</v>
      </c>
      <c r="AD108" s="3">
        <v>1E-3</v>
      </c>
      <c r="AE108" s="3">
        <v>2.5000000000000001E-2</v>
      </c>
      <c r="AF108" s="3">
        <v>1E-3</v>
      </c>
      <c r="AG108" s="3">
        <v>6.5000000000000002E-2</v>
      </c>
      <c r="AH108" s="3">
        <v>2.0000000000000001E-4</v>
      </c>
      <c r="AI108" s="3">
        <v>3.5999999999999999E-3</v>
      </c>
      <c r="AJ108" s="3">
        <v>1E-4</v>
      </c>
      <c r="AK108" s="3">
        <v>4.1999999999999997E-3</v>
      </c>
      <c r="AL108" s="3">
        <v>0.15</v>
      </c>
      <c r="AM108" s="3">
        <v>0.42</v>
      </c>
      <c r="AN108" s="3">
        <v>1E-3</v>
      </c>
      <c r="AO108" s="3">
        <v>0.185</v>
      </c>
      <c r="AP108" t="str">
        <f t="shared" si="1"/>
        <v>('304LNi&gt;=9', 0.009, 0.119, 0.33, 1.9, 0.001, 0.008, 0.022, 0.045, 0.18, 0.69, 6.31, 19.18, 16.03, 25.55, 0.01, 0.7, 0.01, 2.15, 0.001, 0.23, 0.0071, 0.131, 0, 7.6, 0.0103, 0.1425, 0.0015, 0.008, 0.001, 0.025, 0.001, 0.065, 0.0002, 0.0036, 0.0001, 0.0042, 0.15, 0.42, 0.001, 0.185),</v>
      </c>
    </row>
    <row r="109" spans="1:42" x14ac:dyDescent="0.2">
      <c r="A109" s="4" t="s">
        <v>141</v>
      </c>
      <c r="B109" s="4">
        <v>8.9999999999999993E-3</v>
      </c>
      <c r="C109" s="4">
        <v>0.11899999999999999</v>
      </c>
      <c r="D109" s="4">
        <v>0.33</v>
      </c>
      <c r="E109" s="4">
        <v>1.9</v>
      </c>
      <c r="F109" s="4">
        <v>1E-3</v>
      </c>
      <c r="G109" s="4">
        <v>8.0000000000000002E-3</v>
      </c>
      <c r="H109" s="4">
        <v>2.1999999999999999E-2</v>
      </c>
      <c r="I109" s="4">
        <v>4.4999999999999998E-2</v>
      </c>
      <c r="J109" s="4">
        <v>0.18</v>
      </c>
      <c r="K109" s="4">
        <v>0.69</v>
      </c>
      <c r="L109" s="4">
        <v>6.31</v>
      </c>
      <c r="M109" s="4">
        <v>19.18</v>
      </c>
      <c r="N109" s="4">
        <v>16.03</v>
      </c>
      <c r="O109" s="4">
        <v>25.55</v>
      </c>
      <c r="P109" s="4">
        <v>0.01</v>
      </c>
      <c r="Q109" s="4">
        <v>0.7</v>
      </c>
      <c r="R109" s="4">
        <v>0.01</v>
      </c>
      <c r="S109" s="4">
        <v>2.15</v>
      </c>
      <c r="T109" s="4">
        <v>1E-3</v>
      </c>
      <c r="U109" s="4">
        <v>0.23</v>
      </c>
      <c r="V109" s="4">
        <v>7.1000000000000004E-3</v>
      </c>
      <c r="W109" s="4">
        <v>0.13100000000000001</v>
      </c>
      <c r="X109" s="4">
        <v>0</v>
      </c>
      <c r="Y109" s="4">
        <v>7.6</v>
      </c>
      <c r="Z109" s="4">
        <v>1.03E-2</v>
      </c>
      <c r="AA109" s="4">
        <v>0.14249999999999999</v>
      </c>
      <c r="AB109" s="4">
        <v>1.5E-3</v>
      </c>
      <c r="AC109" s="4">
        <v>8.0000000000000002E-3</v>
      </c>
      <c r="AD109" s="4">
        <v>1E-3</v>
      </c>
      <c r="AE109" s="4">
        <v>2.5000000000000001E-2</v>
      </c>
      <c r="AF109" s="4">
        <v>1E-3</v>
      </c>
      <c r="AG109" s="4">
        <v>6.5000000000000002E-2</v>
      </c>
      <c r="AH109" s="4">
        <v>2.0000000000000001E-4</v>
      </c>
      <c r="AI109" s="4">
        <v>3.5999999999999999E-3</v>
      </c>
      <c r="AJ109" s="4">
        <v>1E-4</v>
      </c>
      <c r="AK109" s="4">
        <v>4.1999999999999997E-3</v>
      </c>
      <c r="AL109" s="4">
        <v>0.15</v>
      </c>
      <c r="AM109" s="4">
        <v>0.42</v>
      </c>
      <c r="AN109" s="4">
        <v>1E-3</v>
      </c>
      <c r="AO109" s="4">
        <v>0.185</v>
      </c>
      <c r="AP109" t="str">
        <f t="shared" si="1"/>
        <v>('304LNi&gt;=8.5', 0.009, 0.119, 0.33, 1.9, 0.001, 0.008, 0.022, 0.045, 0.18, 0.69, 6.31, 19.18, 16.03, 25.55, 0.01, 0.7, 0.01, 2.15, 0.001, 0.23, 0.0071, 0.131, 0, 7.6, 0.0103, 0.1425, 0.0015, 0.008, 0.001, 0.025, 0.001, 0.065, 0.0002, 0.0036, 0.0001, 0.0042, 0.15, 0.42, 0.001, 0.185),</v>
      </c>
    </row>
    <row r="110" spans="1:42" x14ac:dyDescent="0.2">
      <c r="A110" s="3" t="s">
        <v>142</v>
      </c>
      <c r="B110" s="3">
        <v>6.1000000000000004E-3</v>
      </c>
      <c r="C110" s="3">
        <v>2.1999999999999999E-2</v>
      </c>
      <c r="D110" s="3">
        <v>0.2</v>
      </c>
      <c r="E110" s="3">
        <v>1.3</v>
      </c>
      <c r="F110" s="3">
        <v>1E-3</v>
      </c>
      <c r="G110" s="3">
        <v>8.0000000000000002E-3</v>
      </c>
      <c r="H110" s="3">
        <v>2.7E-2</v>
      </c>
      <c r="I110" s="3">
        <v>0.04</v>
      </c>
      <c r="J110" s="3">
        <v>0.4</v>
      </c>
      <c r="K110" s="3">
        <v>0.7</v>
      </c>
      <c r="L110" s="3">
        <v>0.06</v>
      </c>
      <c r="M110" s="3">
        <v>0.3</v>
      </c>
      <c r="N110" s="3">
        <v>11.08</v>
      </c>
      <c r="O110" s="3">
        <v>11.7</v>
      </c>
      <c r="P110" s="3">
        <v>0.01</v>
      </c>
      <c r="Q110" s="3">
        <v>0.2</v>
      </c>
      <c r="R110" s="3">
        <v>0.01</v>
      </c>
      <c r="S110" s="3">
        <v>0.04</v>
      </c>
      <c r="T110" s="3">
        <v>1E-3</v>
      </c>
      <c r="U110" s="3">
        <v>0.28000000000000003</v>
      </c>
      <c r="V110" s="3">
        <v>0.02</v>
      </c>
      <c r="W110" s="3">
        <v>0.05</v>
      </c>
      <c r="X110" s="3">
        <v>0</v>
      </c>
      <c r="Y110" s="3">
        <v>4.4000000000000004</v>
      </c>
      <c r="Z110" s="3">
        <v>6.7000000000000002E-3</v>
      </c>
      <c r="AA110" s="3">
        <v>2.8899999999999999E-2</v>
      </c>
      <c r="AB110" s="3">
        <v>1.8E-3</v>
      </c>
      <c r="AC110" s="3">
        <v>6.4000000000000003E-3</v>
      </c>
      <c r="AD110" s="3">
        <v>2E-3</v>
      </c>
      <c r="AE110" s="3">
        <v>3.1E-2</v>
      </c>
      <c r="AF110" s="3">
        <v>2E-3</v>
      </c>
      <c r="AG110" s="3">
        <v>5.9799999999999999E-2</v>
      </c>
      <c r="AH110" s="3">
        <v>2.9999999999999997E-4</v>
      </c>
      <c r="AI110" s="3">
        <v>1.8E-3</v>
      </c>
      <c r="AJ110" s="3">
        <v>0</v>
      </c>
      <c r="AK110" s="3">
        <v>8.0000000000000004E-4</v>
      </c>
      <c r="AL110" s="3">
        <v>0.02</v>
      </c>
      <c r="AM110" s="3">
        <v>0.04</v>
      </c>
      <c r="AN110" s="3">
        <v>1E-3</v>
      </c>
      <c r="AO110" s="3">
        <v>1.2E-2</v>
      </c>
      <c r="AP110" t="str">
        <f t="shared" si="1"/>
        <v>('409L Ti', 0.0061, 0.022, 0.2, 1.3, 0.001, 0.008, 0.027, 0.04, 0.4, 0.7, 0.06, 0.3, 11.08, 11.7, 0.01, 0.2, 0.01, 0.04, 0.001, 0.28, 0.02, 0.05, 0, 4.4, 0.0067, 0.0289, 0.0018, 0.0064, 0.002, 0.031, 0.002, 0.0598, 0.0003, 0.0018, 0, 0.0008, 0.02, 0.04, 0.001, 0.012),</v>
      </c>
    </row>
    <row r="111" spans="1:42" x14ac:dyDescent="0.2">
      <c r="A111" s="4" t="s">
        <v>143</v>
      </c>
      <c r="B111" s="4">
        <v>0.04</v>
      </c>
      <c r="C111" s="4">
        <v>4.4999999999999998E-2</v>
      </c>
      <c r="D111" s="4">
        <v>1.7</v>
      </c>
      <c r="E111" s="4">
        <v>1.9</v>
      </c>
      <c r="F111" s="4">
        <v>1E-3</v>
      </c>
      <c r="G111" s="4">
        <v>5.0000000000000001E-3</v>
      </c>
      <c r="H111" s="4">
        <v>3.5000000000000003E-2</v>
      </c>
      <c r="I111" s="4">
        <v>4.2000000000000003E-2</v>
      </c>
      <c r="J111" s="4">
        <v>0.2</v>
      </c>
      <c r="K111" s="4">
        <v>0.4</v>
      </c>
      <c r="L111" s="4">
        <v>9.0299999999999994</v>
      </c>
      <c r="M111" s="4">
        <v>9.1</v>
      </c>
      <c r="N111" s="4">
        <v>17.05</v>
      </c>
      <c r="O111" s="4">
        <v>17.28</v>
      </c>
      <c r="P111" s="4">
        <v>0.33</v>
      </c>
      <c r="Q111" s="4">
        <v>0.42</v>
      </c>
      <c r="R111" s="4">
        <v>0.15</v>
      </c>
      <c r="S111" s="4">
        <v>0.3</v>
      </c>
      <c r="T111" s="4">
        <v>0.24</v>
      </c>
      <c r="U111" s="4">
        <v>0.3</v>
      </c>
      <c r="V111" s="4">
        <v>0</v>
      </c>
      <c r="W111" s="4">
        <v>7.3999999999999996E-2</v>
      </c>
      <c r="X111" s="4">
        <v>0</v>
      </c>
      <c r="Y111" s="4">
        <v>7</v>
      </c>
      <c r="Z111" s="4">
        <v>1.2200000000000001E-2</v>
      </c>
      <c r="AA111" s="4">
        <v>1.38E-2</v>
      </c>
      <c r="AB111" s="4">
        <v>4.5999999999999999E-3</v>
      </c>
      <c r="AC111" s="4">
        <v>5.7999999999999996E-3</v>
      </c>
      <c r="AD111" s="4">
        <v>9.9000000000000008E-3</v>
      </c>
      <c r="AE111" s="4">
        <v>1.32E-2</v>
      </c>
      <c r="AF111" s="4">
        <v>1.5E-3</v>
      </c>
      <c r="AG111" s="4">
        <v>5.0099999999999999E-2</v>
      </c>
      <c r="AH111" s="4">
        <v>2.9999999999999997E-4</v>
      </c>
      <c r="AI111" s="4">
        <v>6.9999999999999999E-4</v>
      </c>
      <c r="AJ111" s="4">
        <v>2.0000000000000001E-4</v>
      </c>
      <c r="AK111" s="4">
        <v>2E-3</v>
      </c>
      <c r="AL111" s="4">
        <v>0.19</v>
      </c>
      <c r="AM111" s="4">
        <v>0.21</v>
      </c>
      <c r="AN111" s="4">
        <v>0</v>
      </c>
      <c r="AO111" s="4">
        <v>1.0999999999999999E-2</v>
      </c>
      <c r="AP111" t="str">
        <f t="shared" si="1"/>
        <v>('321H', 0.04, 0.045, 1.7, 1.9, 0.001, 0.005, 0.035, 0.042, 0.2, 0.4, 9.03, 9.1, 17.05, 17.28, 0.33, 0.42, 0.15, 0.3, 0.24, 0.3, 0, 0.074, 0, 7, 0.0122, 0.0138, 0.0046, 0.0058, 0.0099, 0.0132, 0.0015, 0.0501, 0.0003, 0.0007, 0.0002, 0.002, 0.19, 0.21, 0, 0.011),</v>
      </c>
    </row>
    <row r="112" spans="1:42" x14ac:dyDescent="0.2">
      <c r="A112" s="3" t="s">
        <v>144</v>
      </c>
      <c r="B112" s="3">
        <v>8.9999999999999993E-3</v>
      </c>
      <c r="C112" s="3">
        <v>0.11899999999999999</v>
      </c>
      <c r="D112" s="3">
        <v>0.33</v>
      </c>
      <c r="E112" s="3">
        <v>1.9</v>
      </c>
      <c r="F112" s="3">
        <v>1E-3</v>
      </c>
      <c r="G112" s="3">
        <v>8.0000000000000002E-3</v>
      </c>
      <c r="H112" s="3">
        <v>2.1999999999999999E-2</v>
      </c>
      <c r="I112" s="3">
        <v>4.4999999999999998E-2</v>
      </c>
      <c r="J112" s="3">
        <v>0.18</v>
      </c>
      <c r="K112" s="3">
        <v>0.69</v>
      </c>
      <c r="L112" s="3">
        <v>6.31</v>
      </c>
      <c r="M112" s="3">
        <v>19.18</v>
      </c>
      <c r="N112" s="3">
        <v>16.03</v>
      </c>
      <c r="O112" s="3">
        <v>25.55</v>
      </c>
      <c r="P112" s="3">
        <v>0.01</v>
      </c>
      <c r="Q112" s="3">
        <v>0.7</v>
      </c>
      <c r="R112" s="3">
        <v>0.01</v>
      </c>
      <c r="S112" s="3">
        <v>2.15</v>
      </c>
      <c r="T112" s="3">
        <v>1E-3</v>
      </c>
      <c r="U112" s="3">
        <v>0.23</v>
      </c>
      <c r="V112" s="3">
        <v>7.1000000000000004E-3</v>
      </c>
      <c r="W112" s="3">
        <v>0.13100000000000001</v>
      </c>
      <c r="X112" s="3">
        <v>0</v>
      </c>
      <c r="Y112" s="3">
        <v>7.6</v>
      </c>
      <c r="Z112" s="3">
        <v>1.03E-2</v>
      </c>
      <c r="AA112" s="3">
        <v>0.14249999999999999</v>
      </c>
      <c r="AB112" s="3">
        <v>1.5E-3</v>
      </c>
      <c r="AC112" s="3">
        <v>8.0000000000000002E-3</v>
      </c>
      <c r="AD112" s="3">
        <v>1E-3</v>
      </c>
      <c r="AE112" s="3">
        <v>2.5000000000000001E-2</v>
      </c>
      <c r="AF112" s="3">
        <v>1E-3</v>
      </c>
      <c r="AG112" s="3">
        <v>6.5000000000000002E-2</v>
      </c>
      <c r="AH112" s="3">
        <v>2.0000000000000001E-4</v>
      </c>
      <c r="AI112" s="3">
        <v>3.5999999999999999E-3</v>
      </c>
      <c r="AJ112" s="3">
        <v>1E-4</v>
      </c>
      <c r="AK112" s="3">
        <v>4.1999999999999997E-3</v>
      </c>
      <c r="AL112" s="3">
        <v>0.15</v>
      </c>
      <c r="AM112" s="3">
        <v>0.42</v>
      </c>
      <c r="AN112" s="3">
        <v>1E-3</v>
      </c>
      <c r="AO112" s="3">
        <v>0.185</v>
      </c>
      <c r="AP112" t="str">
        <f t="shared" si="1"/>
        <v>('EN1.4310', 0.009, 0.119, 0.33, 1.9, 0.001, 0.008, 0.022, 0.045, 0.18, 0.69, 6.31, 19.18, 16.03, 25.55, 0.01, 0.7, 0.01, 2.15, 0.001, 0.23, 0.0071, 0.131, 0, 7.6, 0.0103, 0.1425, 0.0015, 0.008, 0.001, 0.025, 0.001, 0.065, 0.0002, 0.0036, 0.0001, 0.0042, 0.15, 0.42, 0.001, 0.185),</v>
      </c>
    </row>
    <row r="113" spans="1:42" x14ac:dyDescent="0.2">
      <c r="A113" s="4" t="s">
        <v>145</v>
      </c>
      <c r="B113" s="4">
        <v>0.65</v>
      </c>
      <c r="C113" s="4">
        <v>0.7</v>
      </c>
      <c r="D113" s="4">
        <v>0.6</v>
      </c>
      <c r="E113" s="4">
        <v>0.73</v>
      </c>
      <c r="F113" s="4">
        <v>1E-3</v>
      </c>
      <c r="G113" s="4">
        <v>6.0000000000000001E-3</v>
      </c>
      <c r="H113" s="4">
        <v>2.1000000000000001E-2</v>
      </c>
      <c r="I113" s="4">
        <v>2.5000000000000001E-2</v>
      </c>
      <c r="J113" s="4">
        <v>0.19</v>
      </c>
      <c r="K113" s="4">
        <v>0.41</v>
      </c>
      <c r="L113" s="4">
        <v>0.05</v>
      </c>
      <c r="M113" s="4">
        <v>0.23</v>
      </c>
      <c r="N113" s="4">
        <v>13</v>
      </c>
      <c r="O113" s="4">
        <v>13.48</v>
      </c>
      <c r="P113" s="4">
        <v>0.01</v>
      </c>
      <c r="Q113" s="4">
        <v>0.1</v>
      </c>
      <c r="R113" s="4">
        <v>0.01</v>
      </c>
      <c r="S113" s="4">
        <v>0.04</v>
      </c>
      <c r="T113" s="4">
        <v>1E-3</v>
      </c>
      <c r="U113" s="4">
        <v>5.0000000000000001E-3</v>
      </c>
      <c r="V113" s="4">
        <v>0.1</v>
      </c>
      <c r="W113" s="4">
        <v>0.13</v>
      </c>
      <c r="X113" s="4">
        <v>0</v>
      </c>
      <c r="Y113" s="4">
        <v>5.9</v>
      </c>
      <c r="Z113" s="4">
        <v>1.61E-2</v>
      </c>
      <c r="AA113" s="4">
        <v>3.5000000000000003E-2</v>
      </c>
      <c r="AB113" s="4">
        <v>2E-3</v>
      </c>
      <c r="AC113" s="4">
        <v>6.7999999999999996E-3</v>
      </c>
      <c r="AD113" s="4">
        <v>1.6999999999999999E-3</v>
      </c>
      <c r="AE113" s="4">
        <v>7.7999999999999996E-3</v>
      </c>
      <c r="AF113" s="4">
        <v>2E-3</v>
      </c>
      <c r="AG113" s="4">
        <v>7.0000000000000001E-3</v>
      </c>
      <c r="AH113" s="4">
        <v>0</v>
      </c>
      <c r="AI113" s="4">
        <v>1.5E-3</v>
      </c>
      <c r="AJ113" s="4">
        <v>1E-4</v>
      </c>
      <c r="AK113" s="4">
        <v>8.0000000000000004E-4</v>
      </c>
      <c r="AL113" s="4">
        <v>0.02</v>
      </c>
      <c r="AM113" s="4">
        <v>0.04</v>
      </c>
      <c r="AN113" s="4">
        <v>0</v>
      </c>
      <c r="AO113" s="4">
        <v>8.0000000000000002E-3</v>
      </c>
      <c r="AP113" t="str">
        <f t="shared" si="1"/>
        <v>('JBS', 0.65, 0.7, 0.6, 0.73, 0.001, 0.006, 0.021, 0.025, 0.19, 0.41, 0.05, 0.23, 13, 13.48, 0.01, 0.1, 0.01, 0.04, 0.001, 0.005, 0.1, 0.13, 0, 5.9, 0.0161, 0.035, 0.002, 0.0068, 0.0017, 0.0078, 0.002, 0.007, 0, 0.0015, 0.0001, 0.0008, 0.02, 0.04, 0, 0.008),</v>
      </c>
    </row>
    <row r="114" spans="1:42" x14ac:dyDescent="0.2">
      <c r="A114" s="3" t="s">
        <v>146</v>
      </c>
      <c r="B114" s="3">
        <v>0</v>
      </c>
      <c r="C114" s="3">
        <v>0</v>
      </c>
      <c r="D114" s="3">
        <v>0</v>
      </c>
      <c r="E114" s="3">
        <v>0</v>
      </c>
      <c r="F114" s="3">
        <v>0</v>
      </c>
      <c r="G114" s="3">
        <v>0</v>
      </c>
      <c r="H114" s="3">
        <v>0</v>
      </c>
      <c r="I114" s="3">
        <v>0</v>
      </c>
      <c r="J114" s="3">
        <v>0</v>
      </c>
      <c r="K114" s="3">
        <v>0</v>
      </c>
      <c r="L114" s="3">
        <v>0</v>
      </c>
      <c r="M114" s="3">
        <v>0</v>
      </c>
      <c r="N114" s="3">
        <v>0</v>
      </c>
      <c r="O114" s="3">
        <v>0</v>
      </c>
      <c r="P114" s="3">
        <v>0</v>
      </c>
      <c r="Q114" s="3">
        <v>0</v>
      </c>
      <c r="R114" s="3">
        <v>0</v>
      </c>
      <c r="S114" s="3">
        <v>0</v>
      </c>
      <c r="T114" s="3">
        <v>0</v>
      </c>
      <c r="U114" s="3">
        <v>0</v>
      </c>
      <c r="V114" s="3">
        <v>0</v>
      </c>
      <c r="W114" s="3">
        <v>0</v>
      </c>
      <c r="X114" s="3">
        <v>0</v>
      </c>
      <c r="Y114" s="3">
        <v>0</v>
      </c>
      <c r="Z114" s="3">
        <v>0</v>
      </c>
      <c r="AA114" s="3">
        <v>0</v>
      </c>
      <c r="AB114" s="3">
        <v>0</v>
      </c>
      <c r="AC114" s="3">
        <v>0</v>
      </c>
      <c r="AD114" s="3">
        <v>0</v>
      </c>
      <c r="AE114" s="3">
        <v>0</v>
      </c>
      <c r="AF114" s="3">
        <v>0</v>
      </c>
      <c r="AG114" s="3">
        <v>0</v>
      </c>
      <c r="AH114" s="3">
        <v>0</v>
      </c>
      <c r="AI114" s="3">
        <v>0</v>
      </c>
      <c r="AJ114" s="3">
        <v>0</v>
      </c>
      <c r="AK114" s="3">
        <v>0</v>
      </c>
      <c r="AL114" s="3">
        <v>0</v>
      </c>
      <c r="AM114" s="3">
        <v>0</v>
      </c>
      <c r="AN114" s="3">
        <v>0</v>
      </c>
      <c r="AO114" s="3">
        <v>0</v>
      </c>
      <c r="AP114" t="str">
        <f t="shared" si="1"/>
        <v>('UNS31803', 0, 0, 0, 0, 0, 0, 0, 0, 0, 0, 0, 0, 0, 0, 0, 0, 0, 0, 0, 0, 0, 0, 0, 0, 0, 0, 0, 0, 0, 0, 0, 0, 0, 0, 0, 0, 0, 0, 0, 0),</v>
      </c>
    </row>
    <row r="115" spans="1:42" x14ac:dyDescent="0.2">
      <c r="A115" s="4" t="s">
        <v>147</v>
      </c>
      <c r="B115" s="4">
        <v>8.9999999999999993E-3</v>
      </c>
      <c r="C115" s="4">
        <v>0.11899999999999999</v>
      </c>
      <c r="D115" s="4">
        <v>0.33</v>
      </c>
      <c r="E115" s="4">
        <v>1.9</v>
      </c>
      <c r="F115" s="4">
        <v>1E-3</v>
      </c>
      <c r="G115" s="4">
        <v>8.0000000000000002E-3</v>
      </c>
      <c r="H115" s="4">
        <v>2.1999999999999999E-2</v>
      </c>
      <c r="I115" s="4">
        <v>4.4999999999999998E-2</v>
      </c>
      <c r="J115" s="4">
        <v>0.18</v>
      </c>
      <c r="K115" s="4">
        <v>0.69</v>
      </c>
      <c r="L115" s="4">
        <v>6.31</v>
      </c>
      <c r="M115" s="4">
        <v>19.18</v>
      </c>
      <c r="N115" s="4">
        <v>16.03</v>
      </c>
      <c r="O115" s="4">
        <v>25.55</v>
      </c>
      <c r="P115" s="4">
        <v>0.01</v>
      </c>
      <c r="Q115" s="4">
        <v>0.7</v>
      </c>
      <c r="R115" s="4">
        <v>0.01</v>
      </c>
      <c r="S115" s="4">
        <v>2.15</v>
      </c>
      <c r="T115" s="4">
        <v>1E-3</v>
      </c>
      <c r="U115" s="4">
        <v>0.23</v>
      </c>
      <c r="V115" s="4">
        <v>7.1000000000000004E-3</v>
      </c>
      <c r="W115" s="4">
        <v>0.13100000000000001</v>
      </c>
      <c r="X115" s="4">
        <v>0</v>
      </c>
      <c r="Y115" s="4">
        <v>7.6</v>
      </c>
      <c r="Z115" s="4">
        <v>1.03E-2</v>
      </c>
      <c r="AA115" s="4">
        <v>0.14249999999999999</v>
      </c>
      <c r="AB115" s="4">
        <v>1.5E-3</v>
      </c>
      <c r="AC115" s="4">
        <v>8.0000000000000002E-3</v>
      </c>
      <c r="AD115" s="4">
        <v>1E-3</v>
      </c>
      <c r="AE115" s="4">
        <v>2.5000000000000001E-2</v>
      </c>
      <c r="AF115" s="4">
        <v>1E-3</v>
      </c>
      <c r="AG115" s="4">
        <v>6.5000000000000002E-2</v>
      </c>
      <c r="AH115" s="4">
        <v>2.0000000000000001E-4</v>
      </c>
      <c r="AI115" s="4">
        <v>3.5999999999999999E-3</v>
      </c>
      <c r="AJ115" s="4">
        <v>1E-4</v>
      </c>
      <c r="AK115" s="4">
        <v>4.1999999999999997E-3</v>
      </c>
      <c r="AL115" s="4">
        <v>0.15</v>
      </c>
      <c r="AM115" s="4">
        <v>0.42</v>
      </c>
      <c r="AN115" s="4">
        <v>1E-3</v>
      </c>
      <c r="AO115" s="4">
        <v>0.185</v>
      </c>
      <c r="AP115" t="str">
        <f t="shared" si="1"/>
        <v>('316C&gt;0.04', 0.009, 0.119, 0.33, 1.9, 0.001, 0.008, 0.022, 0.045, 0.18, 0.69, 6.31, 19.18, 16.03, 25.55, 0.01, 0.7, 0.01, 2.15, 0.001, 0.23, 0.0071, 0.131, 0, 7.6, 0.0103, 0.1425, 0.0015, 0.008, 0.001, 0.025, 0.001, 0.065, 0.0002, 0.0036, 0.0001, 0.0042, 0.15, 0.42, 0.001, 0.185),</v>
      </c>
    </row>
    <row r="116" spans="1:42" x14ac:dyDescent="0.2">
      <c r="A116" s="3" t="s">
        <v>148</v>
      </c>
      <c r="B116" s="3">
        <v>8.9999999999999993E-3</v>
      </c>
      <c r="C116" s="3">
        <v>0.11899999999999999</v>
      </c>
      <c r="D116" s="3">
        <v>0.33</v>
      </c>
      <c r="E116" s="3">
        <v>1.9</v>
      </c>
      <c r="F116" s="3">
        <v>1E-3</v>
      </c>
      <c r="G116" s="3">
        <v>8.0000000000000002E-3</v>
      </c>
      <c r="H116" s="3">
        <v>2.1999999999999999E-2</v>
      </c>
      <c r="I116" s="3">
        <v>4.4999999999999998E-2</v>
      </c>
      <c r="J116" s="3">
        <v>0.18</v>
      </c>
      <c r="K116" s="3">
        <v>0.69</v>
      </c>
      <c r="L116" s="3">
        <v>6.31</v>
      </c>
      <c r="M116" s="3">
        <v>19.18</v>
      </c>
      <c r="N116" s="3">
        <v>16.03</v>
      </c>
      <c r="O116" s="3">
        <v>25.55</v>
      </c>
      <c r="P116" s="3">
        <v>0.01</v>
      </c>
      <c r="Q116" s="3">
        <v>0.7</v>
      </c>
      <c r="R116" s="3">
        <v>0.01</v>
      </c>
      <c r="S116" s="3">
        <v>2.15</v>
      </c>
      <c r="T116" s="3">
        <v>1E-3</v>
      </c>
      <c r="U116" s="3">
        <v>0.23</v>
      </c>
      <c r="V116" s="3">
        <v>7.1000000000000004E-3</v>
      </c>
      <c r="W116" s="3">
        <v>0.13100000000000001</v>
      </c>
      <c r="X116" s="3">
        <v>0</v>
      </c>
      <c r="Y116" s="3">
        <v>7.6</v>
      </c>
      <c r="Z116" s="3">
        <v>1.03E-2</v>
      </c>
      <c r="AA116" s="3">
        <v>0.14249999999999999</v>
      </c>
      <c r="AB116" s="3">
        <v>1.5E-3</v>
      </c>
      <c r="AC116" s="3">
        <v>8.0000000000000002E-3</v>
      </c>
      <c r="AD116" s="3">
        <v>1E-3</v>
      </c>
      <c r="AE116" s="3">
        <v>2.5000000000000001E-2</v>
      </c>
      <c r="AF116" s="3">
        <v>1E-3</v>
      </c>
      <c r="AG116" s="3">
        <v>6.5000000000000002E-2</v>
      </c>
      <c r="AH116" s="3">
        <v>2.0000000000000001E-4</v>
      </c>
      <c r="AI116" s="3">
        <v>3.5999999999999999E-3</v>
      </c>
      <c r="AJ116" s="3">
        <v>1E-4</v>
      </c>
      <c r="AK116" s="3">
        <v>4.1999999999999997E-3</v>
      </c>
      <c r="AL116" s="3">
        <v>0.15</v>
      </c>
      <c r="AM116" s="3">
        <v>0.42</v>
      </c>
      <c r="AN116" s="3">
        <v>1E-3</v>
      </c>
      <c r="AO116" s="3">
        <v>0.185</v>
      </c>
      <c r="AP116" t="str">
        <f t="shared" si="1"/>
        <v>('317L', 0.009, 0.119, 0.33, 1.9, 0.001, 0.008, 0.022, 0.045, 0.18, 0.69, 6.31, 19.18, 16.03, 25.55, 0.01, 0.7, 0.01, 2.15, 0.001, 0.23, 0.0071, 0.131, 0, 7.6, 0.0103, 0.1425, 0.0015, 0.008, 0.001, 0.025, 0.001, 0.065, 0.0002, 0.0036, 0.0001, 0.0042, 0.15, 0.42, 0.001, 0.185),</v>
      </c>
    </row>
    <row r="117" spans="1:42" x14ac:dyDescent="0.2">
      <c r="A117" s="4" t="s">
        <v>149</v>
      </c>
      <c r="B117" s="4">
        <v>8.9999999999999993E-3</v>
      </c>
      <c r="C117" s="4">
        <v>0.11899999999999999</v>
      </c>
      <c r="D117" s="4">
        <v>0.33</v>
      </c>
      <c r="E117" s="4">
        <v>1.9</v>
      </c>
      <c r="F117" s="4">
        <v>1E-3</v>
      </c>
      <c r="G117" s="4">
        <v>8.0000000000000002E-3</v>
      </c>
      <c r="H117" s="4">
        <v>2.1999999999999999E-2</v>
      </c>
      <c r="I117" s="4">
        <v>4.4999999999999998E-2</v>
      </c>
      <c r="J117" s="4">
        <v>0.18</v>
      </c>
      <c r="K117" s="4">
        <v>0.69</v>
      </c>
      <c r="L117" s="4">
        <v>6.31</v>
      </c>
      <c r="M117" s="4">
        <v>19.18</v>
      </c>
      <c r="N117" s="4">
        <v>16.03</v>
      </c>
      <c r="O117" s="4">
        <v>25.55</v>
      </c>
      <c r="P117" s="4">
        <v>0.01</v>
      </c>
      <c r="Q117" s="4">
        <v>0.7</v>
      </c>
      <c r="R117" s="4">
        <v>0.01</v>
      </c>
      <c r="S117" s="4">
        <v>2.15</v>
      </c>
      <c r="T117" s="4">
        <v>1E-3</v>
      </c>
      <c r="U117" s="4">
        <v>0.23</v>
      </c>
      <c r="V117" s="4">
        <v>7.1000000000000004E-3</v>
      </c>
      <c r="W117" s="4">
        <v>0.13100000000000001</v>
      </c>
      <c r="X117" s="4">
        <v>0</v>
      </c>
      <c r="Y117" s="4">
        <v>7.6</v>
      </c>
      <c r="Z117" s="4">
        <v>1.03E-2</v>
      </c>
      <c r="AA117" s="4">
        <v>0.14249999999999999</v>
      </c>
      <c r="AB117" s="4">
        <v>1.5E-3</v>
      </c>
      <c r="AC117" s="4">
        <v>8.0000000000000002E-3</v>
      </c>
      <c r="AD117" s="4">
        <v>1E-3</v>
      </c>
      <c r="AE117" s="4">
        <v>2.5000000000000001E-2</v>
      </c>
      <c r="AF117" s="4">
        <v>1E-3</v>
      </c>
      <c r="AG117" s="4">
        <v>6.5000000000000002E-2</v>
      </c>
      <c r="AH117" s="4">
        <v>2.0000000000000001E-4</v>
      </c>
      <c r="AI117" s="4">
        <v>3.5999999999999999E-3</v>
      </c>
      <c r="AJ117" s="4">
        <v>1E-4</v>
      </c>
      <c r="AK117" s="4">
        <v>4.1999999999999997E-3</v>
      </c>
      <c r="AL117" s="4">
        <v>0.15</v>
      </c>
      <c r="AM117" s="4">
        <v>0.42</v>
      </c>
      <c r="AN117" s="4">
        <v>1E-3</v>
      </c>
      <c r="AO117" s="4">
        <v>0.185</v>
      </c>
      <c r="AP117" t="str">
        <f t="shared" si="1"/>
        <v>('EN1.4301HSR', 0.009, 0.119, 0.33, 1.9, 0.001, 0.008, 0.022, 0.045, 0.18, 0.69, 6.31, 19.18, 16.03, 25.55, 0.01, 0.7, 0.01, 2.15, 0.001, 0.23, 0.0071, 0.131, 0, 7.6, 0.0103, 0.1425, 0.0015, 0.008, 0.001, 0.025, 0.001, 0.065, 0.0002, 0.0036, 0.0001, 0.0042, 0.15, 0.42, 0.001, 0.185),</v>
      </c>
    </row>
    <row r="118" spans="1:42" x14ac:dyDescent="0.2">
      <c r="A118" s="3" t="s">
        <v>150</v>
      </c>
      <c r="B118" s="3">
        <v>8.9999999999999993E-3</v>
      </c>
      <c r="C118" s="3">
        <v>0.11899999999999999</v>
      </c>
      <c r="D118" s="3">
        <v>0.33</v>
      </c>
      <c r="E118" s="3">
        <v>1.9</v>
      </c>
      <c r="F118" s="3">
        <v>1E-3</v>
      </c>
      <c r="G118" s="3">
        <v>8.0000000000000002E-3</v>
      </c>
      <c r="H118" s="3">
        <v>2.1999999999999999E-2</v>
      </c>
      <c r="I118" s="3">
        <v>4.4999999999999998E-2</v>
      </c>
      <c r="J118" s="3">
        <v>0.18</v>
      </c>
      <c r="K118" s="3">
        <v>0.69</v>
      </c>
      <c r="L118" s="3">
        <v>6.31</v>
      </c>
      <c r="M118" s="3">
        <v>19.18</v>
      </c>
      <c r="N118" s="3">
        <v>16.03</v>
      </c>
      <c r="O118" s="3">
        <v>25.55</v>
      </c>
      <c r="P118" s="3">
        <v>0.01</v>
      </c>
      <c r="Q118" s="3">
        <v>0.7</v>
      </c>
      <c r="R118" s="3">
        <v>0.01</v>
      </c>
      <c r="S118" s="3">
        <v>2.15</v>
      </c>
      <c r="T118" s="3">
        <v>1E-3</v>
      </c>
      <c r="U118" s="3">
        <v>0.23</v>
      </c>
      <c r="V118" s="3">
        <v>7.1000000000000004E-3</v>
      </c>
      <c r="W118" s="3">
        <v>0.13100000000000001</v>
      </c>
      <c r="X118" s="3">
        <v>0</v>
      </c>
      <c r="Y118" s="3">
        <v>7.6</v>
      </c>
      <c r="Z118" s="3">
        <v>1.03E-2</v>
      </c>
      <c r="AA118" s="3">
        <v>0.14249999999999999</v>
      </c>
      <c r="AB118" s="3">
        <v>1.5E-3</v>
      </c>
      <c r="AC118" s="3">
        <v>8.0000000000000002E-3</v>
      </c>
      <c r="AD118" s="3">
        <v>1E-3</v>
      </c>
      <c r="AE118" s="3">
        <v>2.5000000000000001E-2</v>
      </c>
      <c r="AF118" s="3">
        <v>1E-3</v>
      </c>
      <c r="AG118" s="3">
        <v>6.5000000000000002E-2</v>
      </c>
      <c r="AH118" s="3">
        <v>2.0000000000000001E-4</v>
      </c>
      <c r="AI118" s="3">
        <v>3.5999999999999999E-3</v>
      </c>
      <c r="AJ118" s="3">
        <v>1E-4</v>
      </c>
      <c r="AK118" s="3">
        <v>4.1999999999999997E-3</v>
      </c>
      <c r="AL118" s="3">
        <v>0.15</v>
      </c>
      <c r="AM118" s="3">
        <v>0.42</v>
      </c>
      <c r="AN118" s="3">
        <v>1E-3</v>
      </c>
      <c r="AO118" s="3">
        <v>0.185</v>
      </c>
      <c r="AP118" t="str">
        <f t="shared" si="1"/>
        <v>('EN1.4307HSR', 0.009, 0.119, 0.33, 1.9, 0.001, 0.008, 0.022, 0.045, 0.18, 0.69, 6.31, 19.18, 16.03, 25.55, 0.01, 0.7, 0.01, 2.15, 0.001, 0.23, 0.0071, 0.131, 0, 7.6, 0.0103, 0.1425, 0.0015, 0.008, 0.001, 0.025, 0.001, 0.065, 0.0002, 0.0036, 0.0001, 0.0042, 0.15, 0.42, 0.001, 0.185),</v>
      </c>
    </row>
    <row r="119" spans="1:42" x14ac:dyDescent="0.2">
      <c r="A119" s="4" t="s">
        <v>151</v>
      </c>
      <c r="B119" s="4">
        <v>0.02</v>
      </c>
      <c r="C119" s="4">
        <v>0.14000000000000001</v>
      </c>
      <c r="D119" s="4">
        <v>6.68</v>
      </c>
      <c r="E119" s="4">
        <v>10.14</v>
      </c>
      <c r="F119" s="4">
        <v>1E-3</v>
      </c>
      <c r="G119" s="4">
        <v>8.0000000000000002E-3</v>
      </c>
      <c r="H119" s="4">
        <v>3.5000000000000003E-2</v>
      </c>
      <c r="I119" s="4">
        <v>9.2999999999999999E-2</v>
      </c>
      <c r="J119" s="4">
        <v>0.2</v>
      </c>
      <c r="K119" s="4">
        <v>0.55000000000000004</v>
      </c>
      <c r="L119" s="4">
        <v>0.8</v>
      </c>
      <c r="M119" s="4">
        <v>4.1100000000000003</v>
      </c>
      <c r="N119" s="4">
        <v>13.7</v>
      </c>
      <c r="O119" s="4">
        <v>16.5</v>
      </c>
      <c r="P119" s="4">
        <v>0.11</v>
      </c>
      <c r="Q119" s="4">
        <v>2.08</v>
      </c>
      <c r="R119" s="4">
        <v>0.03</v>
      </c>
      <c r="S119" s="4">
        <v>0.19</v>
      </c>
      <c r="T119" s="4">
        <v>1E-3</v>
      </c>
      <c r="U119" s="4">
        <v>7.0000000000000001E-3</v>
      </c>
      <c r="V119" s="4">
        <v>3.5000000000000003E-2</v>
      </c>
      <c r="W119" s="4">
        <v>0.08</v>
      </c>
      <c r="X119" s="4">
        <v>0</v>
      </c>
      <c r="Y119" s="4">
        <v>7.9</v>
      </c>
      <c r="Z119" s="4">
        <v>0.12</v>
      </c>
      <c r="AA119" s="4">
        <v>0.19800000000000001</v>
      </c>
      <c r="AB119" s="4">
        <v>2.0999999999999999E-3</v>
      </c>
      <c r="AC119" s="4">
        <v>8.0000000000000002E-3</v>
      </c>
      <c r="AD119" s="4">
        <v>2.5999999999999999E-3</v>
      </c>
      <c r="AE119" s="4">
        <v>1.9E-2</v>
      </c>
      <c r="AF119" s="4">
        <v>1E-3</v>
      </c>
      <c r="AG119" s="4">
        <v>8.5000000000000006E-3</v>
      </c>
      <c r="AH119" s="4">
        <v>1E-4</v>
      </c>
      <c r="AI119" s="4">
        <v>1.8E-3</v>
      </c>
      <c r="AJ119" s="4">
        <v>4.0000000000000002E-4</v>
      </c>
      <c r="AK119" s="4">
        <v>2.5999999999999999E-3</v>
      </c>
      <c r="AL119" s="4">
        <v>0.04</v>
      </c>
      <c r="AM119" s="4">
        <v>0.12</v>
      </c>
      <c r="AN119" s="4">
        <v>1E-3</v>
      </c>
      <c r="AO119" s="4">
        <v>3.9E-2</v>
      </c>
      <c r="AP119" t="str">
        <f t="shared" si="1"/>
        <v>('JSLUKP', 0.02, 0.14, 6.68, 10.14, 0.001, 0.008, 0.035, 0.093, 0.2, 0.55, 0.8, 4.11, 13.7, 16.5, 0.11, 2.08, 0.03, 0.19, 0.001, 0.007, 0.035, 0.08, 0, 7.9, 0.12, 0.198, 0.0021, 0.008, 0.0026, 0.019, 0.001, 0.0085, 0.0001, 0.0018, 0.0004, 0.0026, 0.04, 0.12, 0.001, 0.039),</v>
      </c>
    </row>
    <row r="120" spans="1:42" x14ac:dyDescent="0.2">
      <c r="A120" s="3" t="s">
        <v>152</v>
      </c>
      <c r="B120" s="3">
        <v>0</v>
      </c>
      <c r="C120" s="3">
        <v>0</v>
      </c>
      <c r="D120" s="3">
        <v>0</v>
      </c>
      <c r="E120" s="3">
        <v>0</v>
      </c>
      <c r="F120" s="3">
        <v>0</v>
      </c>
      <c r="G120" s="3">
        <v>0</v>
      </c>
      <c r="H120" s="3">
        <v>0</v>
      </c>
      <c r="I120" s="3">
        <v>0</v>
      </c>
      <c r="J120" s="3">
        <v>0</v>
      </c>
      <c r="K120" s="3">
        <v>0</v>
      </c>
      <c r="L120" s="3">
        <v>0</v>
      </c>
      <c r="M120" s="3">
        <v>0</v>
      </c>
      <c r="N120" s="3">
        <v>0</v>
      </c>
      <c r="O120" s="3">
        <v>0</v>
      </c>
      <c r="P120" s="3">
        <v>0</v>
      </c>
      <c r="Q120" s="3">
        <v>0</v>
      </c>
      <c r="R120" s="3">
        <v>0</v>
      </c>
      <c r="S120" s="3">
        <v>0</v>
      </c>
      <c r="T120" s="3">
        <v>0</v>
      </c>
      <c r="U120" s="3">
        <v>0</v>
      </c>
      <c r="V120" s="3">
        <v>0</v>
      </c>
      <c r="W120" s="3">
        <v>0</v>
      </c>
      <c r="X120" s="3">
        <v>0</v>
      </c>
      <c r="Y120" s="3">
        <v>0</v>
      </c>
      <c r="Z120" s="3">
        <v>0</v>
      </c>
      <c r="AA120" s="3">
        <v>0</v>
      </c>
      <c r="AB120" s="3">
        <v>0</v>
      </c>
      <c r="AC120" s="3">
        <v>0</v>
      </c>
      <c r="AD120" s="3">
        <v>0</v>
      </c>
      <c r="AE120" s="3">
        <v>0</v>
      </c>
      <c r="AF120" s="3">
        <v>0</v>
      </c>
      <c r="AG120" s="3">
        <v>0</v>
      </c>
      <c r="AH120" s="3">
        <v>0</v>
      </c>
      <c r="AI120" s="3">
        <v>0</v>
      </c>
      <c r="AJ120" s="3">
        <v>0</v>
      </c>
      <c r="AK120" s="3">
        <v>0</v>
      </c>
      <c r="AL120" s="3">
        <v>0</v>
      </c>
      <c r="AM120" s="3">
        <v>0</v>
      </c>
      <c r="AN120" s="3">
        <v>0</v>
      </c>
      <c r="AO120" s="3">
        <v>0</v>
      </c>
      <c r="AP120" t="str">
        <f t="shared" si="1"/>
        <v>('EN1.4000', 0, 0, 0, 0, 0, 0, 0, 0, 0, 0, 0, 0, 0, 0, 0, 0, 0, 0, 0, 0, 0, 0, 0, 0, 0, 0, 0, 0, 0, 0, 0, 0, 0, 0, 0, 0, 0, 0, 0, 0),</v>
      </c>
    </row>
    <row r="121" spans="1:42" x14ac:dyDescent="0.2">
      <c r="A121" s="4" t="s">
        <v>153</v>
      </c>
      <c r="B121" s="4">
        <v>0.04</v>
      </c>
      <c r="C121" s="4">
        <v>6.3E-2</v>
      </c>
      <c r="D121" s="4">
        <v>0.9</v>
      </c>
      <c r="E121" s="4">
        <v>1.2</v>
      </c>
      <c r="F121" s="4">
        <v>1E-3</v>
      </c>
      <c r="G121" s="4">
        <v>5.0000000000000001E-3</v>
      </c>
      <c r="H121" s="4">
        <v>8.9999999999999993E-3</v>
      </c>
      <c r="I121" s="4">
        <v>4.3999999999999997E-2</v>
      </c>
      <c r="J121" s="4">
        <v>0.21</v>
      </c>
      <c r="K121" s="4">
        <v>0.51</v>
      </c>
      <c r="L121" s="4">
        <v>8.5299999999999994</v>
      </c>
      <c r="M121" s="4">
        <v>8.58</v>
      </c>
      <c r="N121" s="4">
        <v>18.05</v>
      </c>
      <c r="O121" s="4">
        <v>18.309999999999999</v>
      </c>
      <c r="P121" s="4">
        <v>0.1</v>
      </c>
      <c r="Q121" s="4">
        <v>0.7</v>
      </c>
      <c r="R121" s="4">
        <v>7.0000000000000007E-2</v>
      </c>
      <c r="S121" s="4">
        <v>0.35</v>
      </c>
      <c r="T121" s="4">
        <v>1E-3</v>
      </c>
      <c r="U121" s="4">
        <v>8.0000000000000002E-3</v>
      </c>
      <c r="V121" s="4">
        <v>0</v>
      </c>
      <c r="W121" s="4">
        <v>0.08</v>
      </c>
      <c r="X121" s="4">
        <v>0</v>
      </c>
      <c r="Y121" s="4">
        <v>0</v>
      </c>
      <c r="Z121" s="4">
        <v>0.03</v>
      </c>
      <c r="AA121" s="4">
        <v>5.5599999999999997E-2</v>
      </c>
      <c r="AB121" s="4">
        <v>3.8999999999999998E-3</v>
      </c>
      <c r="AC121" s="4">
        <v>6.4999999999999997E-3</v>
      </c>
      <c r="AD121" s="4">
        <v>8.6999999999999994E-3</v>
      </c>
      <c r="AE121" s="4">
        <v>2.2100000000000002E-2</v>
      </c>
      <c r="AF121" s="4">
        <v>2.3999999999999998E-3</v>
      </c>
      <c r="AG121" s="4">
        <v>6.7999999999999996E-3</v>
      </c>
      <c r="AH121" s="4">
        <v>2.9999999999999997E-4</v>
      </c>
      <c r="AI121" s="4">
        <v>1E-3</v>
      </c>
      <c r="AJ121" s="4">
        <v>2.9999999999999997E-4</v>
      </c>
      <c r="AK121" s="4">
        <v>5.1000000000000004E-3</v>
      </c>
      <c r="AL121" s="4">
        <v>0.12</v>
      </c>
      <c r="AM121" s="4">
        <v>0.45</v>
      </c>
      <c r="AN121" s="4">
        <v>0</v>
      </c>
      <c r="AO121" s="4">
        <v>8.9999999999999993E-3</v>
      </c>
      <c r="AP121" t="str">
        <f t="shared" si="1"/>
        <v>('X5CRNI18', 0.04, 0.063, 0.9, 1.2, 0.001, 0.005, 0.009, 0.044, 0.21, 0.51, 8.53, 8.58, 18.05, 18.31, 0.1, 0.7, 0.07, 0.35, 0.001, 0.008, 0, 0.08, 0, 0, 0.03, 0.0556, 0.0039, 0.0065, 0.0087, 0.0221, 0.0024, 0.0068, 0.0003, 0.001, 0.0003, 0.0051, 0.12, 0.45, 0, 0.009),</v>
      </c>
    </row>
    <row r="122" spans="1:42" x14ac:dyDescent="0.2">
      <c r="A122" s="3" t="s">
        <v>154</v>
      </c>
      <c r="B122" s="3">
        <v>0.02</v>
      </c>
      <c r="C122" s="3">
        <v>0.14000000000000001</v>
      </c>
      <c r="D122" s="3">
        <v>6.68</v>
      </c>
      <c r="E122" s="3">
        <v>10.14</v>
      </c>
      <c r="F122" s="3">
        <v>1E-3</v>
      </c>
      <c r="G122" s="3">
        <v>8.0000000000000002E-3</v>
      </c>
      <c r="H122" s="3">
        <v>3.5000000000000003E-2</v>
      </c>
      <c r="I122" s="3">
        <v>9.2999999999999999E-2</v>
      </c>
      <c r="J122" s="3">
        <v>0.2</v>
      </c>
      <c r="K122" s="3">
        <v>0.55000000000000004</v>
      </c>
      <c r="L122" s="3">
        <v>0.8</v>
      </c>
      <c r="M122" s="3">
        <v>4.1100000000000003</v>
      </c>
      <c r="N122" s="3">
        <v>13.7</v>
      </c>
      <c r="O122" s="3">
        <v>16.5</v>
      </c>
      <c r="P122" s="3">
        <v>0.11</v>
      </c>
      <c r="Q122" s="3">
        <v>2.08</v>
      </c>
      <c r="R122" s="3">
        <v>0.03</v>
      </c>
      <c r="S122" s="3">
        <v>0.19</v>
      </c>
      <c r="T122" s="3">
        <v>1E-3</v>
      </c>
      <c r="U122" s="3">
        <v>7.0000000000000001E-3</v>
      </c>
      <c r="V122" s="3">
        <v>3.5000000000000003E-2</v>
      </c>
      <c r="W122" s="3">
        <v>0.08</v>
      </c>
      <c r="X122" s="3">
        <v>0</v>
      </c>
      <c r="Y122" s="3">
        <v>7.9</v>
      </c>
      <c r="Z122" s="3">
        <v>0.12</v>
      </c>
      <c r="AA122" s="3">
        <v>0.19800000000000001</v>
      </c>
      <c r="AB122" s="3">
        <v>2.0999999999999999E-3</v>
      </c>
      <c r="AC122" s="3">
        <v>8.0000000000000002E-3</v>
      </c>
      <c r="AD122" s="3">
        <v>2.5999999999999999E-3</v>
      </c>
      <c r="AE122" s="3">
        <v>1.9E-2</v>
      </c>
      <c r="AF122" s="3">
        <v>1E-3</v>
      </c>
      <c r="AG122" s="3">
        <v>8.5000000000000006E-3</v>
      </c>
      <c r="AH122" s="3">
        <v>1E-4</v>
      </c>
      <c r="AI122" s="3">
        <v>1.8E-3</v>
      </c>
      <c r="AJ122" s="3">
        <v>4.0000000000000002E-4</v>
      </c>
      <c r="AK122" s="3">
        <v>2.5999999999999999E-3</v>
      </c>
      <c r="AL122" s="3">
        <v>0.04</v>
      </c>
      <c r="AM122" s="3">
        <v>0.12</v>
      </c>
      <c r="AN122" s="3">
        <v>1E-3</v>
      </c>
      <c r="AO122" s="3">
        <v>3.9E-2</v>
      </c>
      <c r="AP122" t="str">
        <f t="shared" si="1"/>
        <v>('204cuM', 0.02, 0.14, 6.68, 10.14, 0.001, 0.008, 0.035, 0.093, 0.2, 0.55, 0.8, 4.11, 13.7, 16.5, 0.11, 2.08, 0.03, 0.19, 0.001, 0.007, 0.035, 0.08, 0, 7.9, 0.12, 0.198, 0.0021, 0.008, 0.0026, 0.019, 0.001, 0.0085, 0.0001, 0.0018, 0.0004, 0.0026, 0.04, 0.12, 0.001, 0.039),</v>
      </c>
    </row>
    <row r="123" spans="1:42" x14ac:dyDescent="0.2">
      <c r="A123" s="4" t="s">
        <v>155</v>
      </c>
      <c r="B123" s="4">
        <v>8.9999999999999993E-3</v>
      </c>
      <c r="C123" s="4">
        <v>0.11899999999999999</v>
      </c>
      <c r="D123" s="4">
        <v>0.33</v>
      </c>
      <c r="E123" s="4">
        <v>1.9</v>
      </c>
      <c r="F123" s="4">
        <v>1E-3</v>
      </c>
      <c r="G123" s="4">
        <v>8.0000000000000002E-3</v>
      </c>
      <c r="H123" s="4">
        <v>2.1999999999999999E-2</v>
      </c>
      <c r="I123" s="4">
        <v>4.4999999999999998E-2</v>
      </c>
      <c r="J123" s="4">
        <v>0.18</v>
      </c>
      <c r="K123" s="4">
        <v>0.69</v>
      </c>
      <c r="L123" s="4">
        <v>6.31</v>
      </c>
      <c r="M123" s="4">
        <v>19.18</v>
      </c>
      <c r="N123" s="4">
        <v>16.03</v>
      </c>
      <c r="O123" s="4">
        <v>25.55</v>
      </c>
      <c r="P123" s="4">
        <v>0.01</v>
      </c>
      <c r="Q123" s="4">
        <v>0.7</v>
      </c>
      <c r="R123" s="4">
        <v>0.01</v>
      </c>
      <c r="S123" s="4">
        <v>2.15</v>
      </c>
      <c r="T123" s="4">
        <v>1E-3</v>
      </c>
      <c r="U123" s="4">
        <v>0.23</v>
      </c>
      <c r="V123" s="4">
        <v>7.1000000000000004E-3</v>
      </c>
      <c r="W123" s="4">
        <v>0.13100000000000001</v>
      </c>
      <c r="X123" s="4">
        <v>0</v>
      </c>
      <c r="Y123" s="4">
        <v>7.6</v>
      </c>
      <c r="Z123" s="4">
        <v>1.03E-2</v>
      </c>
      <c r="AA123" s="4">
        <v>0.14249999999999999</v>
      </c>
      <c r="AB123" s="4">
        <v>1.5E-3</v>
      </c>
      <c r="AC123" s="4">
        <v>8.0000000000000002E-3</v>
      </c>
      <c r="AD123" s="4">
        <v>1E-3</v>
      </c>
      <c r="AE123" s="4">
        <v>2.5000000000000001E-2</v>
      </c>
      <c r="AF123" s="4">
        <v>1E-3</v>
      </c>
      <c r="AG123" s="4">
        <v>6.5000000000000002E-2</v>
      </c>
      <c r="AH123" s="4">
        <v>2.0000000000000001E-4</v>
      </c>
      <c r="AI123" s="4">
        <v>3.5999999999999999E-3</v>
      </c>
      <c r="AJ123" s="4">
        <v>1E-4</v>
      </c>
      <c r="AK123" s="4">
        <v>4.1999999999999997E-3</v>
      </c>
      <c r="AL123" s="4">
        <v>0.15</v>
      </c>
      <c r="AM123" s="4">
        <v>0.42</v>
      </c>
      <c r="AN123" s="4">
        <v>1E-3</v>
      </c>
      <c r="AO123" s="4">
        <v>0.185</v>
      </c>
      <c r="AP123" t="str">
        <f t="shared" si="1"/>
        <v>('EN1.4306', 0.009, 0.119, 0.33, 1.9, 0.001, 0.008, 0.022, 0.045, 0.18, 0.69, 6.31, 19.18, 16.03, 25.55, 0.01, 0.7, 0.01, 2.15, 0.001, 0.23, 0.0071, 0.131, 0, 7.6, 0.0103, 0.1425, 0.0015, 0.008, 0.001, 0.025, 0.001, 0.065, 0.0002, 0.0036, 0.0001, 0.0042, 0.15, 0.42, 0.001, 0.185),</v>
      </c>
    </row>
    <row r="124" spans="1:42" x14ac:dyDescent="0.2">
      <c r="A124" s="3" t="s">
        <v>156</v>
      </c>
      <c r="B124" s="3">
        <v>1.6E-2</v>
      </c>
      <c r="C124" s="3">
        <v>2.5000000000000001E-2</v>
      </c>
      <c r="D124" s="3">
        <v>0.75</v>
      </c>
      <c r="E124" s="3">
        <v>0.95</v>
      </c>
      <c r="F124" s="3">
        <v>1E-3</v>
      </c>
      <c r="G124" s="3">
        <v>1E-3</v>
      </c>
      <c r="H124" s="3">
        <v>2.9000000000000001E-2</v>
      </c>
      <c r="I124" s="3">
        <v>0.03</v>
      </c>
      <c r="J124" s="3">
        <v>0.2</v>
      </c>
      <c r="K124" s="3">
        <v>0.4</v>
      </c>
      <c r="L124" s="3">
        <v>7</v>
      </c>
      <c r="M124" s="3">
        <v>7.1</v>
      </c>
      <c r="N124" s="3">
        <v>25.6</v>
      </c>
      <c r="O124" s="3">
        <v>25.8</v>
      </c>
      <c r="P124" s="3">
        <v>0.16</v>
      </c>
      <c r="Q124" s="3">
        <v>0.45</v>
      </c>
      <c r="R124" s="3">
        <v>3.55</v>
      </c>
      <c r="S124" s="3">
        <v>3.6</v>
      </c>
      <c r="T124" s="3">
        <v>1E-3</v>
      </c>
      <c r="U124" s="3">
        <v>1E-3</v>
      </c>
      <c r="V124" s="3">
        <v>6.2E-2</v>
      </c>
      <c r="W124" s="3">
        <v>6.2E-2</v>
      </c>
      <c r="X124" s="3">
        <v>0</v>
      </c>
      <c r="Y124" s="3">
        <v>0</v>
      </c>
      <c r="Z124" s="3">
        <v>0.25</v>
      </c>
      <c r="AA124" s="3">
        <v>0.27</v>
      </c>
      <c r="AB124" s="3">
        <v>4.7000000000000002E-3</v>
      </c>
      <c r="AC124" s="3">
        <v>4.7000000000000002E-3</v>
      </c>
      <c r="AD124" s="3">
        <v>4.3E-3</v>
      </c>
      <c r="AE124" s="3">
        <v>4.3E-3</v>
      </c>
      <c r="AF124" s="3">
        <v>2.9000000000000001E-2</v>
      </c>
      <c r="AG124" s="3">
        <v>2.9000000000000001E-2</v>
      </c>
      <c r="AH124" s="3">
        <v>1.6000000000000001E-3</v>
      </c>
      <c r="AI124" s="3">
        <v>1.6000000000000001E-3</v>
      </c>
      <c r="AJ124" s="3">
        <v>2E-3</v>
      </c>
      <c r="AK124" s="3">
        <v>4.0000000000000001E-3</v>
      </c>
      <c r="AL124" s="3">
        <v>0.19</v>
      </c>
      <c r="AM124" s="3">
        <v>0.19</v>
      </c>
      <c r="AN124" s="3">
        <v>1.6E-2</v>
      </c>
      <c r="AO124" s="3">
        <v>1.6E-2</v>
      </c>
      <c r="AP124" t="str">
        <f t="shared" si="1"/>
        <v>('UNS532750', 0.016, 0.025, 0.75, 0.95, 0.001, 0.001, 0.029, 0.03, 0.2, 0.4, 7, 7.1, 25.6, 25.8, 0.16, 0.45, 3.55, 3.6, 0.001, 0.001, 0.062, 0.062, 0, 0, 0.25, 0.27, 0.0047, 0.0047, 0.0043, 0.0043, 0.029, 0.029, 0.0016, 0.0016, 0.002, 0.004, 0.19, 0.19, 0.016, 0.016),</v>
      </c>
    </row>
    <row r="125" spans="1:42" x14ac:dyDescent="0.2">
      <c r="A125" s="4" t="s">
        <v>157</v>
      </c>
      <c r="B125" s="4">
        <v>0.02</v>
      </c>
      <c r="C125" s="4">
        <v>2.4E-2</v>
      </c>
      <c r="D125" s="4">
        <v>1.2</v>
      </c>
      <c r="E125" s="4">
        <v>1.28</v>
      </c>
      <c r="F125" s="4">
        <v>2E-3</v>
      </c>
      <c r="G125" s="4">
        <v>5.0000000000000001E-3</v>
      </c>
      <c r="H125" s="4">
        <v>3.7999999999999999E-2</v>
      </c>
      <c r="I125" s="4">
        <v>0.04</v>
      </c>
      <c r="J125" s="4">
        <v>0.22</v>
      </c>
      <c r="K125" s="4">
        <v>0.33</v>
      </c>
      <c r="L125" s="4">
        <v>10.02</v>
      </c>
      <c r="M125" s="4">
        <v>10.08</v>
      </c>
      <c r="N125" s="4">
        <v>16.05</v>
      </c>
      <c r="O125" s="4">
        <v>16.34</v>
      </c>
      <c r="P125" s="4">
        <v>0.24</v>
      </c>
      <c r="Q125" s="4">
        <v>0.5</v>
      </c>
      <c r="R125" s="4">
        <v>2.02</v>
      </c>
      <c r="S125" s="4">
        <v>2.0699999999999998</v>
      </c>
      <c r="T125" s="4">
        <v>2E-3</v>
      </c>
      <c r="U125" s="4">
        <v>3.0000000000000001E-3</v>
      </c>
      <c r="V125" s="4">
        <v>0</v>
      </c>
      <c r="W125" s="4">
        <v>6.9000000000000006E-2</v>
      </c>
      <c r="X125" s="4">
        <v>0</v>
      </c>
      <c r="Y125" s="4">
        <v>7.2</v>
      </c>
      <c r="Z125" s="4">
        <v>3.6999999999999998E-2</v>
      </c>
      <c r="AA125" s="4">
        <v>5.5800000000000002E-2</v>
      </c>
      <c r="AB125" s="4">
        <v>5.7999999999999996E-3</v>
      </c>
      <c r="AC125" s="4">
        <v>7.3000000000000001E-3</v>
      </c>
      <c r="AD125" s="4">
        <v>5.7000000000000002E-3</v>
      </c>
      <c r="AE125" s="4">
        <v>1.17E-2</v>
      </c>
      <c r="AF125" s="4">
        <v>3.5000000000000001E-3</v>
      </c>
      <c r="AG125" s="4">
        <v>6.8999999999999999E-3</v>
      </c>
      <c r="AH125" s="4">
        <v>1E-4</v>
      </c>
      <c r="AI125" s="4">
        <v>2E-3</v>
      </c>
      <c r="AJ125" s="4">
        <v>2.0999999999999999E-3</v>
      </c>
      <c r="AK125" s="4">
        <v>3.0000000000000001E-3</v>
      </c>
      <c r="AL125" s="4">
        <v>0.16</v>
      </c>
      <c r="AM125" s="4">
        <v>0.28000000000000003</v>
      </c>
      <c r="AN125" s="4">
        <v>0</v>
      </c>
      <c r="AO125" s="4">
        <v>4.5999999999999999E-2</v>
      </c>
      <c r="AP125" t="str">
        <f t="shared" si="1"/>
        <v>('316L-AMS', 0.02, 0.024, 1.2, 1.28, 0.002, 0.005, 0.038, 0.04, 0.22, 0.33, 10.02, 10.08, 16.05, 16.34, 0.24, 0.5, 2.02, 2.07, 0.002, 0.003, 0, 0.069, 0, 7.2, 0.037, 0.0558, 0.0058, 0.0073, 0.0057, 0.0117, 0.0035, 0.0069, 0.0001, 0.002, 0.0021, 0.003, 0.16, 0.28, 0, 0.046),</v>
      </c>
    </row>
    <row r="126" spans="1:42" x14ac:dyDescent="0.2">
      <c r="A126" s="3" t="s">
        <v>158</v>
      </c>
      <c r="B126" s="3">
        <v>1.2E-2</v>
      </c>
      <c r="C126" s="3">
        <v>0.02</v>
      </c>
      <c r="D126" s="3">
        <v>1.5</v>
      </c>
      <c r="E126" s="3">
        <v>1.8</v>
      </c>
      <c r="F126" s="3">
        <v>1E-3</v>
      </c>
      <c r="G126" s="3">
        <v>2E-3</v>
      </c>
      <c r="H126" s="3">
        <v>2.4E-2</v>
      </c>
      <c r="I126" s="3">
        <v>0.03</v>
      </c>
      <c r="J126" s="3">
        <v>0.3</v>
      </c>
      <c r="K126" s="3">
        <v>0.5</v>
      </c>
      <c r="L126" s="3">
        <v>5.5</v>
      </c>
      <c r="M126" s="3">
        <v>5.75</v>
      </c>
      <c r="N126" s="3">
        <v>22.5</v>
      </c>
      <c r="O126" s="3">
        <v>22.98</v>
      </c>
      <c r="P126" s="3">
        <v>0.08</v>
      </c>
      <c r="Q126" s="3">
        <v>0.25</v>
      </c>
      <c r="R126" s="3">
        <v>3.02</v>
      </c>
      <c r="S126" s="3">
        <v>3.17</v>
      </c>
      <c r="T126" s="3">
        <v>1E-3</v>
      </c>
      <c r="U126" s="3">
        <v>3.0000000000000001E-3</v>
      </c>
      <c r="V126" s="3">
        <v>4.3999999999999997E-2</v>
      </c>
      <c r="W126" s="3">
        <v>7.8E-2</v>
      </c>
      <c r="X126" s="3">
        <v>0</v>
      </c>
      <c r="Y126" s="3">
        <v>7.9</v>
      </c>
      <c r="Z126" s="3">
        <v>0.157</v>
      </c>
      <c r="AA126" s="3">
        <v>0.1885</v>
      </c>
      <c r="AB126" s="3">
        <v>1.8E-3</v>
      </c>
      <c r="AC126" s="3">
        <v>5.7999999999999996E-3</v>
      </c>
      <c r="AD126" s="3">
        <v>1.7999999999999999E-2</v>
      </c>
      <c r="AE126" s="3">
        <v>6.4999999999999997E-3</v>
      </c>
      <c r="AF126" s="3">
        <v>0.01</v>
      </c>
      <c r="AG126" s="3">
        <v>0.03</v>
      </c>
      <c r="AH126" s="3">
        <v>5.0000000000000001E-4</v>
      </c>
      <c r="AI126" s="3">
        <v>3.5000000000000001E-3</v>
      </c>
      <c r="AJ126" s="3">
        <v>1.5E-3</v>
      </c>
      <c r="AK126" s="3">
        <v>3.0000000000000001E-3</v>
      </c>
      <c r="AL126" s="3">
        <v>0.06</v>
      </c>
      <c r="AM126" s="3">
        <v>0.24</v>
      </c>
      <c r="AN126" s="3">
        <v>2E-3</v>
      </c>
      <c r="AO126" s="3">
        <v>2.5000000000000001E-2</v>
      </c>
      <c r="AP126" t="str">
        <f t="shared" si="1"/>
        <v>('UNS32205', 0.012, 0.02, 1.5, 1.8, 0.001, 0.002, 0.024, 0.03, 0.3, 0.5, 5.5, 5.75, 22.5, 22.98, 0.08, 0.25, 3.02, 3.17, 0.001, 0.003, 0.044, 0.078, 0, 7.9, 0.157, 0.1885, 0.0018, 0.0058, 0.018, 0.0065, 0.01, 0.03, 0.0005, 0.0035, 0.0015, 0.003, 0.06, 0.24, 0.002, 0.025),</v>
      </c>
    </row>
    <row r="127" spans="1:42" x14ac:dyDescent="0.2">
      <c r="A127" s="4" t="s">
        <v>159</v>
      </c>
      <c r="B127" s="4">
        <v>1.7999999999999999E-2</v>
      </c>
      <c r="C127" s="4">
        <v>2.4E-2</v>
      </c>
      <c r="D127" s="4">
        <v>0.8</v>
      </c>
      <c r="E127" s="4">
        <v>1</v>
      </c>
      <c r="F127" s="4">
        <v>2E-3</v>
      </c>
      <c r="G127" s="4">
        <v>3.0000000000000001E-3</v>
      </c>
      <c r="H127" s="4">
        <v>3.0000000000000001E-3</v>
      </c>
      <c r="I127" s="4">
        <v>4.1000000000000002E-2</v>
      </c>
      <c r="J127" s="4">
        <v>0.25</v>
      </c>
      <c r="K127" s="4">
        <v>0.49</v>
      </c>
      <c r="L127" s="4">
        <v>8.5500000000000007</v>
      </c>
      <c r="M127" s="4">
        <v>8.6</v>
      </c>
      <c r="N127" s="4">
        <v>18.2</v>
      </c>
      <c r="O127" s="4">
        <v>18.399999999999999</v>
      </c>
      <c r="P127" s="4">
        <v>0.03</v>
      </c>
      <c r="Q127" s="4">
        <v>0.41</v>
      </c>
      <c r="R127" s="4">
        <v>0.02</v>
      </c>
      <c r="S127" s="4">
        <v>0.35</v>
      </c>
      <c r="T127" s="4">
        <v>2E-3</v>
      </c>
      <c r="U127" s="4">
        <v>2E-3</v>
      </c>
      <c r="V127" s="4">
        <v>0</v>
      </c>
      <c r="W127" s="4">
        <v>6.8000000000000005E-2</v>
      </c>
      <c r="X127" s="4">
        <v>0</v>
      </c>
      <c r="Y127" s="4">
        <v>7.4</v>
      </c>
      <c r="Z127" s="4">
        <v>0.113</v>
      </c>
      <c r="AA127" s="4">
        <v>0.14499999999999999</v>
      </c>
      <c r="AB127" s="4">
        <v>2.0999999999999999E-3</v>
      </c>
      <c r="AC127" s="4">
        <v>4.7999999999999996E-3</v>
      </c>
      <c r="AD127" s="4">
        <v>5.1000000000000004E-3</v>
      </c>
      <c r="AE127" s="4">
        <v>3.2099999999999997E-2</v>
      </c>
      <c r="AF127" s="4">
        <v>1.1000000000000001E-3</v>
      </c>
      <c r="AG127" s="4">
        <v>6.1000000000000004E-3</v>
      </c>
      <c r="AH127" s="4">
        <v>8.0000000000000004E-4</v>
      </c>
      <c r="AI127" s="4">
        <v>1E-3</v>
      </c>
      <c r="AJ127" s="4">
        <v>1E-4</v>
      </c>
      <c r="AK127" s="4">
        <v>8.9999999999999998E-4</v>
      </c>
      <c r="AL127" s="4">
        <v>0.12</v>
      </c>
      <c r="AM127" s="4">
        <v>0.41</v>
      </c>
      <c r="AN127" s="4">
        <v>0</v>
      </c>
      <c r="AO127" s="4">
        <v>8.0000000000000002E-3</v>
      </c>
      <c r="AP127" t="str">
        <f t="shared" si="1"/>
        <v>('EN1.4311', 0.018, 0.024, 0.8, 1, 0.002, 0.003, 0.003, 0.041, 0.25, 0.49, 8.55, 8.6, 18.2, 18.4, 0.03, 0.41, 0.02, 0.35, 0.002, 0.002, 0, 0.068, 0, 7.4, 0.113, 0.145, 0.0021, 0.0048, 0.0051, 0.0321, 0.0011, 0.0061, 0.0008, 0.001, 0.0001, 0.0009, 0.12, 0.41, 0, 0.008),</v>
      </c>
    </row>
    <row r="128" spans="1:42" x14ac:dyDescent="0.2">
      <c r="A128" s="3" t="s">
        <v>160</v>
      </c>
      <c r="B128" s="3">
        <v>0</v>
      </c>
      <c r="C128" s="3">
        <v>0</v>
      </c>
      <c r="D128" s="3">
        <v>0</v>
      </c>
      <c r="E128" s="3">
        <v>0</v>
      </c>
      <c r="F128" s="3">
        <v>0</v>
      </c>
      <c r="G128" s="3">
        <v>0</v>
      </c>
      <c r="H128" s="3">
        <v>0</v>
      </c>
      <c r="I128" s="3">
        <v>0</v>
      </c>
      <c r="J128" s="3">
        <v>0</v>
      </c>
      <c r="K128" s="3">
        <v>0</v>
      </c>
      <c r="L128" s="3">
        <v>0</v>
      </c>
      <c r="M128" s="3">
        <v>0</v>
      </c>
      <c r="N128" s="3">
        <v>0</v>
      </c>
      <c r="O128" s="3">
        <v>0</v>
      </c>
      <c r="P128" s="3">
        <v>0</v>
      </c>
      <c r="Q128" s="3">
        <v>0</v>
      </c>
      <c r="R128" s="3">
        <v>0</v>
      </c>
      <c r="S128" s="3">
        <v>0</v>
      </c>
      <c r="T128" s="3">
        <v>0</v>
      </c>
      <c r="U128" s="3">
        <v>0</v>
      </c>
      <c r="V128" s="3">
        <v>0</v>
      </c>
      <c r="W128" s="3">
        <v>0</v>
      </c>
      <c r="X128" s="3">
        <v>0</v>
      </c>
      <c r="Y128" s="3">
        <v>0</v>
      </c>
      <c r="Z128" s="3">
        <v>0</v>
      </c>
      <c r="AA128" s="3">
        <v>0</v>
      </c>
      <c r="AB128" s="3">
        <v>0</v>
      </c>
      <c r="AC128" s="3">
        <v>0</v>
      </c>
      <c r="AD128" s="3">
        <v>0</v>
      </c>
      <c r="AE128" s="3">
        <v>0</v>
      </c>
      <c r="AF128" s="3">
        <v>0</v>
      </c>
      <c r="AG128" s="3">
        <v>0</v>
      </c>
      <c r="AH128" s="3">
        <v>0</v>
      </c>
      <c r="AI128" s="3">
        <v>0</v>
      </c>
      <c r="AJ128" s="3">
        <v>0</v>
      </c>
      <c r="AK128" s="3">
        <v>0</v>
      </c>
      <c r="AL128" s="3">
        <v>0</v>
      </c>
      <c r="AM128" s="3">
        <v>0</v>
      </c>
      <c r="AN128" s="3">
        <v>0</v>
      </c>
      <c r="AO128" s="3">
        <v>0</v>
      </c>
      <c r="AP128" t="str">
        <f t="shared" si="1"/>
        <v>('410JEN', 0, 0, 0, 0, 0, 0, 0, 0, 0, 0, 0, 0, 0, 0, 0, 0, 0, 0, 0, 0, 0, 0, 0, 0, 0, 0, 0, 0, 0, 0, 0, 0, 0, 0, 0, 0, 0, 0, 0, 0),</v>
      </c>
    </row>
    <row r="129" spans="1:42" x14ac:dyDescent="0.2">
      <c r="A129" s="4" t="s">
        <v>161</v>
      </c>
      <c r="B129" s="4">
        <v>8.9999999999999993E-3</v>
      </c>
      <c r="C129" s="4">
        <v>0.11899999999999999</v>
      </c>
      <c r="D129" s="4">
        <v>0.33</v>
      </c>
      <c r="E129" s="4">
        <v>1.9</v>
      </c>
      <c r="F129" s="4">
        <v>1E-3</v>
      </c>
      <c r="G129" s="4">
        <v>8.0000000000000002E-3</v>
      </c>
      <c r="H129" s="4">
        <v>2.1999999999999999E-2</v>
      </c>
      <c r="I129" s="4">
        <v>4.4999999999999998E-2</v>
      </c>
      <c r="J129" s="4">
        <v>0.18</v>
      </c>
      <c r="K129" s="4">
        <v>0.69</v>
      </c>
      <c r="L129" s="4">
        <v>6.31</v>
      </c>
      <c r="M129" s="4">
        <v>19.18</v>
      </c>
      <c r="N129" s="4">
        <v>16.03</v>
      </c>
      <c r="O129" s="4">
        <v>25.55</v>
      </c>
      <c r="P129" s="4">
        <v>0.01</v>
      </c>
      <c r="Q129" s="4">
        <v>0.7</v>
      </c>
      <c r="R129" s="4">
        <v>0.01</v>
      </c>
      <c r="S129" s="4">
        <v>2.15</v>
      </c>
      <c r="T129" s="4">
        <v>1E-3</v>
      </c>
      <c r="U129" s="4">
        <v>0.23</v>
      </c>
      <c r="V129" s="4">
        <v>7.1000000000000004E-3</v>
      </c>
      <c r="W129" s="4">
        <v>0.13100000000000001</v>
      </c>
      <c r="X129" s="4">
        <v>0</v>
      </c>
      <c r="Y129" s="4">
        <v>7.6</v>
      </c>
      <c r="Z129" s="4">
        <v>1.03E-2</v>
      </c>
      <c r="AA129" s="4">
        <v>0.14249999999999999</v>
      </c>
      <c r="AB129" s="4">
        <v>1.5E-3</v>
      </c>
      <c r="AC129" s="4">
        <v>8.0000000000000002E-3</v>
      </c>
      <c r="AD129" s="4">
        <v>1E-3</v>
      </c>
      <c r="AE129" s="4">
        <v>2.5000000000000001E-2</v>
      </c>
      <c r="AF129" s="4">
        <v>1E-3</v>
      </c>
      <c r="AG129" s="4">
        <v>6.5000000000000002E-2</v>
      </c>
      <c r="AH129" s="4">
        <v>2.0000000000000001E-4</v>
      </c>
      <c r="AI129" s="4">
        <v>3.5999999999999999E-3</v>
      </c>
      <c r="AJ129" s="4">
        <v>1E-4</v>
      </c>
      <c r="AK129" s="4">
        <v>4.1999999999999997E-3</v>
      </c>
      <c r="AL129" s="4">
        <v>0.15</v>
      </c>
      <c r="AM129" s="4">
        <v>0.42</v>
      </c>
      <c r="AN129" s="4">
        <v>1E-3</v>
      </c>
      <c r="AO129" s="4">
        <v>0.185</v>
      </c>
      <c r="AP129" t="str">
        <f t="shared" si="1"/>
        <v>('316-AMS', 0.009, 0.119, 0.33, 1.9, 0.001, 0.008, 0.022, 0.045, 0.18, 0.69, 6.31, 19.18, 16.03, 25.55, 0.01, 0.7, 0.01, 2.15, 0.001, 0.23, 0.0071, 0.131, 0, 7.6, 0.0103, 0.1425, 0.0015, 0.008, 0.001, 0.025, 0.001, 0.065, 0.0002, 0.0036, 0.0001, 0.0042, 0.15, 0.42, 0.001, 0.185),</v>
      </c>
    </row>
    <row r="130" spans="1:42" x14ac:dyDescent="0.2">
      <c r="A130" s="3" t="s">
        <v>162</v>
      </c>
      <c r="B130" s="3">
        <v>1.9E-2</v>
      </c>
      <c r="C130" s="3">
        <v>0.03</v>
      </c>
      <c r="D130" s="3">
        <v>1.2</v>
      </c>
      <c r="E130" s="3">
        <v>1.8</v>
      </c>
      <c r="F130" s="3">
        <v>1E-3</v>
      </c>
      <c r="G130" s="3">
        <v>6.0000000000000001E-3</v>
      </c>
      <c r="H130" s="3">
        <v>2.7E-2</v>
      </c>
      <c r="I130" s="3">
        <v>4.4999999999999998E-2</v>
      </c>
      <c r="J130" s="3">
        <v>0.26</v>
      </c>
      <c r="K130" s="3">
        <v>0.46</v>
      </c>
      <c r="L130" s="3">
        <v>10.01</v>
      </c>
      <c r="M130" s="3">
        <v>10.1</v>
      </c>
      <c r="N130" s="3">
        <v>16.5</v>
      </c>
      <c r="O130" s="3">
        <v>16.95</v>
      </c>
      <c r="P130" s="3">
        <v>0.05</v>
      </c>
      <c r="Q130" s="3">
        <v>0.7</v>
      </c>
      <c r="R130" s="3">
        <v>2.0099999999999998</v>
      </c>
      <c r="S130" s="3">
        <v>2.15</v>
      </c>
      <c r="T130" s="3">
        <v>1E-3</v>
      </c>
      <c r="U130" s="3">
        <v>5.0000000000000001E-3</v>
      </c>
      <c r="V130" s="3">
        <v>0</v>
      </c>
      <c r="W130" s="3">
        <v>0.08</v>
      </c>
      <c r="X130" s="3">
        <v>0</v>
      </c>
      <c r="Y130" s="3">
        <v>0</v>
      </c>
      <c r="Z130" s="3">
        <v>0.02</v>
      </c>
      <c r="AA130" s="3">
        <v>5.1999999999999998E-2</v>
      </c>
      <c r="AB130" s="3">
        <v>1.5E-3</v>
      </c>
      <c r="AC130" s="3">
        <v>7.0000000000000001E-3</v>
      </c>
      <c r="AD130" s="3">
        <v>1E-3</v>
      </c>
      <c r="AE130" s="3">
        <v>1.7000000000000001E-2</v>
      </c>
      <c r="AF130" s="3">
        <v>2E-3</v>
      </c>
      <c r="AG130" s="3">
        <v>0.01</v>
      </c>
      <c r="AH130" s="3">
        <v>2.0000000000000001E-4</v>
      </c>
      <c r="AI130" s="3">
        <v>2E-3</v>
      </c>
      <c r="AJ130" s="3">
        <v>1E-4</v>
      </c>
      <c r="AK130" s="3">
        <v>4.1999999999999997E-3</v>
      </c>
      <c r="AL130" s="3">
        <v>0.21</v>
      </c>
      <c r="AM130" s="3">
        <v>0.33</v>
      </c>
      <c r="AN130" s="3">
        <v>0</v>
      </c>
      <c r="AO130" s="3">
        <v>6.2E-2</v>
      </c>
      <c r="AP130" t="str">
        <f t="shared" si="1"/>
        <v>('EN1.4404RAT', 0.019, 0.03, 1.2, 1.8, 0.001, 0.006, 0.027, 0.045, 0.26, 0.46, 10.01, 10.1, 16.5, 16.95, 0.05, 0.7, 2.01, 2.15, 0.001, 0.005, 0, 0.08, 0, 0, 0.02, 0.052, 0.0015, 0.007, 0.001, 0.017, 0.002, 0.01, 0.0002, 0.002, 0.0001, 0.0042, 0.21, 0.33, 0, 0.062),</v>
      </c>
    </row>
    <row r="131" spans="1:42" x14ac:dyDescent="0.2">
      <c r="A131" s="4" t="s">
        <v>163</v>
      </c>
      <c r="B131" s="4">
        <v>1.0999999999999999E-2</v>
      </c>
      <c r="C131" s="4">
        <v>0.02</v>
      </c>
      <c r="D131" s="4">
        <v>0.75</v>
      </c>
      <c r="E131" s="4">
        <v>0.95</v>
      </c>
      <c r="F131" s="4">
        <v>1E-3</v>
      </c>
      <c r="G131" s="4">
        <v>1E-3</v>
      </c>
      <c r="H131" s="4">
        <v>1.4999999999999999E-2</v>
      </c>
      <c r="I131" s="4">
        <v>3.1E-2</v>
      </c>
      <c r="J131" s="4">
        <v>0.23</v>
      </c>
      <c r="K131" s="4">
        <v>0.27</v>
      </c>
      <c r="L131" s="4">
        <v>7.03</v>
      </c>
      <c r="M131" s="4">
        <v>7.06</v>
      </c>
      <c r="N131" s="4">
        <v>25.6</v>
      </c>
      <c r="O131" s="4">
        <v>25.9</v>
      </c>
      <c r="P131" s="4">
        <v>0.55000000000000004</v>
      </c>
      <c r="Q131" s="4">
        <v>0.57999999999999996</v>
      </c>
      <c r="R131" s="4">
        <v>3.52</v>
      </c>
      <c r="S131" s="4">
        <v>3.62</v>
      </c>
      <c r="T131" s="4">
        <v>1E-3</v>
      </c>
      <c r="U131" s="4">
        <v>6.0000000000000001E-3</v>
      </c>
      <c r="V131" s="4">
        <v>5.6000000000000001E-2</v>
      </c>
      <c r="W131" s="4">
        <v>7.9000000000000001E-2</v>
      </c>
      <c r="X131" s="4">
        <v>0</v>
      </c>
      <c r="Y131" s="4">
        <v>7.8</v>
      </c>
      <c r="Z131" s="4">
        <v>0.25</v>
      </c>
      <c r="AA131" s="4">
        <v>0.27700000000000002</v>
      </c>
      <c r="AB131" s="4">
        <v>2.5000000000000001E-3</v>
      </c>
      <c r="AC131" s="4">
        <v>5.5999999999999999E-3</v>
      </c>
      <c r="AD131" s="4">
        <v>3.0999999999999999E-3</v>
      </c>
      <c r="AE131" s="4">
        <v>6.6E-3</v>
      </c>
      <c r="AF131" s="4">
        <v>1.55E-2</v>
      </c>
      <c r="AG131" s="4">
        <v>3.5000000000000003E-2</v>
      </c>
      <c r="AH131" s="4">
        <v>1E-3</v>
      </c>
      <c r="AI131" s="4">
        <v>1.8E-3</v>
      </c>
      <c r="AJ131" s="4">
        <v>2.2000000000000001E-3</v>
      </c>
      <c r="AK131" s="4">
        <v>3.0000000000000001E-3</v>
      </c>
      <c r="AL131" s="4">
        <v>0.14000000000000001</v>
      </c>
      <c r="AM131" s="4">
        <v>0.41</v>
      </c>
      <c r="AN131" s="4">
        <v>4.0000000000000001E-3</v>
      </c>
      <c r="AO131" s="4">
        <v>8.0000000000000002E-3</v>
      </c>
      <c r="AP131" t="str">
        <f t="shared" ref="AP131:AP194" si="2">"('"&amp;A131&amp;"', "&amp;_xlfn.TEXTJOIN(", ", TRUE, B131:AO131)&amp;"),"</f>
        <v>('UNS32760', 0.011, 0.02, 0.75, 0.95, 0.001, 0.001, 0.015, 0.031, 0.23, 0.27, 7.03, 7.06, 25.6, 25.9, 0.55, 0.58, 3.52, 3.62, 0.001, 0.006, 0.056, 0.079, 0, 7.8, 0.25, 0.277, 0.0025, 0.0056, 0.0031, 0.0066, 0.0155, 0.035, 0.001, 0.0018, 0.0022, 0.003, 0.14, 0.41, 0.004, 0.008),</v>
      </c>
    </row>
    <row r="132" spans="1:42" x14ac:dyDescent="0.2">
      <c r="A132" s="3" t="s">
        <v>164</v>
      </c>
      <c r="B132" s="3">
        <v>4.8000000000000001E-2</v>
      </c>
      <c r="C132" s="3">
        <v>5.8000000000000003E-2</v>
      </c>
      <c r="D132" s="3">
        <v>0.8</v>
      </c>
      <c r="E132" s="3">
        <v>1.05</v>
      </c>
      <c r="F132" s="3">
        <v>2E-3</v>
      </c>
      <c r="G132" s="3">
        <v>5.0000000000000001E-3</v>
      </c>
      <c r="H132" s="3">
        <v>3.5000000000000003E-2</v>
      </c>
      <c r="I132" s="3">
        <v>4.2999999999999997E-2</v>
      </c>
      <c r="J132" s="3">
        <v>0.25</v>
      </c>
      <c r="K132" s="3">
        <v>0.4</v>
      </c>
      <c r="L132" s="3">
        <v>8.02</v>
      </c>
      <c r="M132" s="3">
        <v>8.07</v>
      </c>
      <c r="N132" s="3">
        <v>18.05</v>
      </c>
      <c r="O132" s="3">
        <v>18.25</v>
      </c>
      <c r="P132" s="3">
        <v>0.31</v>
      </c>
      <c r="Q132" s="3">
        <v>0.49</v>
      </c>
      <c r="R132" s="3">
        <v>0.14000000000000001</v>
      </c>
      <c r="S132" s="3">
        <v>0.35</v>
      </c>
      <c r="T132" s="3">
        <v>2E-3</v>
      </c>
      <c r="U132" s="3">
        <v>5.0000000000000001E-3</v>
      </c>
      <c r="V132" s="3">
        <v>0</v>
      </c>
      <c r="W132" s="3">
        <v>7.6999999999999999E-2</v>
      </c>
      <c r="X132" s="3">
        <v>0</v>
      </c>
      <c r="Y132" s="3">
        <v>7</v>
      </c>
      <c r="Z132" s="3">
        <v>2.75E-2</v>
      </c>
      <c r="AA132" s="3">
        <v>5.5E-2</v>
      </c>
      <c r="AB132" s="3">
        <v>2.3E-3</v>
      </c>
      <c r="AC132" s="3">
        <v>5.1999999999999998E-3</v>
      </c>
      <c r="AD132" s="3">
        <v>1.01E-2</v>
      </c>
      <c r="AE132" s="3">
        <v>1.6500000000000001E-2</v>
      </c>
      <c r="AF132" s="3">
        <v>3.7000000000000002E-3</v>
      </c>
      <c r="AG132" s="3">
        <v>7.0000000000000001E-3</v>
      </c>
      <c r="AH132" s="3">
        <v>2.9999999999999997E-4</v>
      </c>
      <c r="AI132" s="3">
        <v>1.1000000000000001E-3</v>
      </c>
      <c r="AJ132" s="3">
        <v>1E-4</v>
      </c>
      <c r="AK132" s="3">
        <v>5.0000000000000001E-4</v>
      </c>
      <c r="AL132" s="3">
        <v>0.2</v>
      </c>
      <c r="AM132" s="3">
        <v>0.23</v>
      </c>
      <c r="AN132" s="3">
        <v>0</v>
      </c>
      <c r="AO132" s="3">
        <v>8.9999999999999993E-3</v>
      </c>
      <c r="AP132" t="str">
        <f t="shared" si="2"/>
        <v>('304H', 0.048, 0.058, 0.8, 1.05, 0.002, 0.005, 0.035, 0.043, 0.25, 0.4, 8.02, 8.07, 18.05, 18.25, 0.31, 0.49, 0.14, 0.35, 0.002, 0.005, 0, 0.077, 0, 7, 0.0275, 0.055, 0.0023, 0.0052, 0.0101, 0.0165, 0.0037, 0.007, 0.0003, 0.0011, 0.0001, 0.0005, 0.2, 0.23, 0, 0.009),</v>
      </c>
    </row>
    <row r="133" spans="1:42" x14ac:dyDescent="0.2">
      <c r="A133" s="4" t="s">
        <v>165</v>
      </c>
      <c r="B133" s="4">
        <v>7.0000000000000007E-2</v>
      </c>
      <c r="C133" s="4">
        <v>0.08</v>
      </c>
      <c r="D133" s="4">
        <v>22.2</v>
      </c>
      <c r="E133" s="4">
        <v>22.4</v>
      </c>
      <c r="F133" s="4">
        <v>0</v>
      </c>
      <c r="G133" s="4">
        <v>0</v>
      </c>
      <c r="H133" s="4">
        <v>0.04</v>
      </c>
      <c r="I133" s="4">
        <v>0.04</v>
      </c>
      <c r="J133" s="4">
        <v>0.4</v>
      </c>
      <c r="K133" s="4">
        <v>0.4</v>
      </c>
      <c r="L133" s="4">
        <v>0.2</v>
      </c>
      <c r="M133" s="4">
        <v>0.2</v>
      </c>
      <c r="N133" s="4">
        <v>18.3</v>
      </c>
      <c r="O133" s="4">
        <v>18.3</v>
      </c>
      <c r="P133" s="4">
        <v>0.1</v>
      </c>
      <c r="Q133" s="4">
        <v>0.1</v>
      </c>
      <c r="R133" s="4">
        <v>0.09</v>
      </c>
      <c r="S133" s="4">
        <v>0.09</v>
      </c>
      <c r="T133" s="4">
        <v>0</v>
      </c>
      <c r="U133" s="4">
        <v>0</v>
      </c>
      <c r="V133" s="4">
        <v>0</v>
      </c>
      <c r="W133" s="4">
        <v>0</v>
      </c>
      <c r="X133" s="4">
        <v>4.5999999999999996</v>
      </c>
      <c r="Y133" s="4">
        <v>6.9</v>
      </c>
      <c r="Z133" s="4">
        <v>0.67879999999999996</v>
      </c>
      <c r="AA133" s="4">
        <v>0.67879999999999996</v>
      </c>
      <c r="AB133" s="4">
        <v>0</v>
      </c>
      <c r="AC133" s="4">
        <v>0</v>
      </c>
      <c r="AD133" s="4">
        <v>0</v>
      </c>
      <c r="AE133" s="4">
        <v>0</v>
      </c>
      <c r="AF133" s="4">
        <v>5.0000000000000001E-3</v>
      </c>
      <c r="AG133" s="4">
        <v>5.0000000000000001E-3</v>
      </c>
      <c r="AH133" s="4">
        <v>0</v>
      </c>
      <c r="AI133" s="4">
        <v>0</v>
      </c>
      <c r="AJ133" s="4">
        <v>4.0000000000000001E-3</v>
      </c>
      <c r="AK133" s="4">
        <v>4.0000000000000001E-3</v>
      </c>
      <c r="AL133" s="4">
        <v>0</v>
      </c>
      <c r="AM133" s="4">
        <v>0</v>
      </c>
      <c r="AN133" s="4">
        <v>0</v>
      </c>
      <c r="AO133" s="4">
        <v>0</v>
      </c>
      <c r="AP133" t="str">
        <f t="shared" si="2"/>
        <v>('HNS', 0.07, 0.08, 22.2, 22.4, 0, 0, 0.04, 0.04, 0.4, 0.4, 0.2, 0.2, 18.3, 18.3, 0.1, 0.1, 0.09, 0.09, 0, 0, 0, 0, 4.6, 6.9, 0.6788, 0.6788, 0, 0, 0, 0, 0.005, 0.005, 0, 0, 0.004, 0.004, 0, 0, 0, 0),</v>
      </c>
    </row>
    <row r="134" spans="1:42" x14ac:dyDescent="0.2">
      <c r="A134" s="3" t="s">
        <v>166</v>
      </c>
      <c r="B134" s="3">
        <v>1.7999999999999999E-2</v>
      </c>
      <c r="C134" s="3">
        <v>2.9000000000000001E-2</v>
      </c>
      <c r="D134" s="3">
        <v>1.3</v>
      </c>
      <c r="E134" s="3">
        <v>1.77</v>
      </c>
      <c r="F134" s="3">
        <v>2E-3</v>
      </c>
      <c r="G134" s="3">
        <v>4.0000000000000001E-3</v>
      </c>
      <c r="H134" s="3">
        <v>3.4000000000000002E-2</v>
      </c>
      <c r="I134" s="3">
        <v>0.04</v>
      </c>
      <c r="J134" s="3">
        <v>0.17</v>
      </c>
      <c r="K134" s="3">
        <v>0.4</v>
      </c>
      <c r="L134" s="3">
        <v>8.02</v>
      </c>
      <c r="M134" s="3">
        <v>8.08</v>
      </c>
      <c r="N134" s="3">
        <v>18.02</v>
      </c>
      <c r="O134" s="3">
        <v>18.8</v>
      </c>
      <c r="P134" s="3">
        <v>0.25</v>
      </c>
      <c r="Q134" s="3">
        <v>0.7</v>
      </c>
      <c r="R134" s="3">
        <v>0.09</v>
      </c>
      <c r="S134" s="3">
        <v>0.4</v>
      </c>
      <c r="T134" s="3">
        <v>2E-3</v>
      </c>
      <c r="U134" s="3">
        <v>3.0000000000000001E-3</v>
      </c>
      <c r="V134" s="3">
        <v>0</v>
      </c>
      <c r="W134" s="3">
        <v>7.8E-2</v>
      </c>
      <c r="X134" s="3">
        <v>0</v>
      </c>
      <c r="Y134" s="3">
        <v>0</v>
      </c>
      <c r="Z134" s="3">
        <v>5.5E-2</v>
      </c>
      <c r="AA134" s="3">
        <v>8.8300000000000003E-2</v>
      </c>
      <c r="AB134" s="3">
        <v>4.4999999999999997E-3</v>
      </c>
      <c r="AC134" s="3">
        <v>5.7000000000000002E-3</v>
      </c>
      <c r="AD134" s="3">
        <v>5.4000000000000003E-3</v>
      </c>
      <c r="AE134" s="3">
        <v>1.43E-2</v>
      </c>
      <c r="AF134" s="3">
        <v>2.2000000000000001E-3</v>
      </c>
      <c r="AG134" s="3">
        <v>6.6E-3</v>
      </c>
      <c r="AH134" s="3">
        <v>2.9999999999999997E-4</v>
      </c>
      <c r="AI134" s="3">
        <v>3.5000000000000001E-3</v>
      </c>
      <c r="AJ134" s="3">
        <v>2.9999999999999997E-4</v>
      </c>
      <c r="AK134" s="3">
        <v>6.9999999999999999E-4</v>
      </c>
      <c r="AL134" s="3">
        <v>0.17</v>
      </c>
      <c r="AM134" s="3">
        <v>0.23</v>
      </c>
      <c r="AN134" s="3">
        <v>0</v>
      </c>
      <c r="AO134" s="3">
        <v>1.23E-2</v>
      </c>
      <c r="AP134" t="str">
        <f t="shared" si="2"/>
        <v>('304L-AMS', 0.018, 0.029, 1.3, 1.77, 0.002, 0.004, 0.034, 0.04, 0.17, 0.4, 8.02, 8.08, 18.02, 18.8, 0.25, 0.7, 0.09, 0.4, 0.002, 0.003, 0, 0.078, 0, 0, 0.055, 0.0883, 0.0045, 0.0057, 0.0054, 0.0143, 0.0022, 0.0066, 0.0003, 0.0035, 0.0003, 0.0007, 0.17, 0.23, 0, 0.0123),</v>
      </c>
    </row>
    <row r="135" spans="1:42" x14ac:dyDescent="0.2">
      <c r="A135" s="4" t="s">
        <v>167</v>
      </c>
      <c r="B135" s="4">
        <v>8.9999999999999993E-3</v>
      </c>
      <c r="C135" s="4">
        <v>0.11899999999999999</v>
      </c>
      <c r="D135" s="4">
        <v>0.33</v>
      </c>
      <c r="E135" s="4">
        <v>1.9</v>
      </c>
      <c r="F135" s="4">
        <v>1E-3</v>
      </c>
      <c r="G135" s="4">
        <v>8.0000000000000002E-3</v>
      </c>
      <c r="H135" s="4">
        <v>2.1999999999999999E-2</v>
      </c>
      <c r="I135" s="4">
        <v>4.4999999999999998E-2</v>
      </c>
      <c r="J135" s="4">
        <v>0.18</v>
      </c>
      <c r="K135" s="4">
        <v>0.69</v>
      </c>
      <c r="L135" s="4">
        <v>6.31</v>
      </c>
      <c r="M135" s="4">
        <v>19.18</v>
      </c>
      <c r="N135" s="4">
        <v>16.03</v>
      </c>
      <c r="O135" s="4">
        <v>25.55</v>
      </c>
      <c r="P135" s="4">
        <v>0.01</v>
      </c>
      <c r="Q135" s="4">
        <v>0.7</v>
      </c>
      <c r="R135" s="4">
        <v>0.01</v>
      </c>
      <c r="S135" s="4">
        <v>2.15</v>
      </c>
      <c r="T135" s="4">
        <v>1E-3</v>
      </c>
      <c r="U135" s="4">
        <v>0.23</v>
      </c>
      <c r="V135" s="4">
        <v>7.1000000000000004E-3</v>
      </c>
      <c r="W135" s="4">
        <v>0.13100000000000001</v>
      </c>
      <c r="X135" s="4">
        <v>0</v>
      </c>
      <c r="Y135" s="4">
        <v>7.6</v>
      </c>
      <c r="Z135" s="4">
        <v>1.03E-2</v>
      </c>
      <c r="AA135" s="4">
        <v>0.14249999999999999</v>
      </c>
      <c r="AB135" s="4">
        <v>1.5E-3</v>
      </c>
      <c r="AC135" s="4">
        <v>8.0000000000000002E-3</v>
      </c>
      <c r="AD135" s="4">
        <v>1E-3</v>
      </c>
      <c r="AE135" s="4">
        <v>2.5000000000000001E-2</v>
      </c>
      <c r="AF135" s="4">
        <v>1E-3</v>
      </c>
      <c r="AG135" s="4">
        <v>6.5000000000000002E-2</v>
      </c>
      <c r="AH135" s="4">
        <v>2.0000000000000001E-4</v>
      </c>
      <c r="AI135" s="4">
        <v>3.5999999999999999E-3</v>
      </c>
      <c r="AJ135" s="4">
        <v>1E-4</v>
      </c>
      <c r="AK135" s="4">
        <v>4.1999999999999997E-3</v>
      </c>
      <c r="AL135" s="4">
        <v>0.15</v>
      </c>
      <c r="AM135" s="4">
        <v>0.42</v>
      </c>
      <c r="AN135" s="4">
        <v>1E-3</v>
      </c>
      <c r="AO135" s="4">
        <v>0.185</v>
      </c>
      <c r="AP135" t="str">
        <f t="shared" si="2"/>
        <v>('304-AMS', 0.009, 0.119, 0.33, 1.9, 0.001, 0.008, 0.022, 0.045, 0.18, 0.69, 6.31, 19.18, 16.03, 25.55, 0.01, 0.7, 0.01, 2.15, 0.001, 0.23, 0.0071, 0.131, 0, 7.6, 0.0103, 0.1425, 0.0015, 0.008, 0.001, 0.025, 0.001, 0.065, 0.0002, 0.0036, 0.0001, 0.0042, 0.15, 0.42, 0.001, 0.185),</v>
      </c>
    </row>
    <row r="136" spans="1:42" x14ac:dyDescent="0.2">
      <c r="A136" s="3" t="s">
        <v>168</v>
      </c>
      <c r="B136" s="3">
        <v>8.9999999999999993E-3</v>
      </c>
      <c r="C136" s="3">
        <v>0.11899999999999999</v>
      </c>
      <c r="D136" s="3">
        <v>0.33</v>
      </c>
      <c r="E136" s="3">
        <v>1.9</v>
      </c>
      <c r="F136" s="3">
        <v>1E-3</v>
      </c>
      <c r="G136" s="3">
        <v>8.0000000000000002E-3</v>
      </c>
      <c r="H136" s="3">
        <v>2.1999999999999999E-2</v>
      </c>
      <c r="I136" s="3">
        <v>4.4999999999999998E-2</v>
      </c>
      <c r="J136" s="3">
        <v>0.18</v>
      </c>
      <c r="K136" s="3">
        <v>0.69</v>
      </c>
      <c r="L136" s="3">
        <v>6.31</v>
      </c>
      <c r="M136" s="3">
        <v>19.18</v>
      </c>
      <c r="N136" s="3">
        <v>16.03</v>
      </c>
      <c r="O136" s="3">
        <v>25.55</v>
      </c>
      <c r="P136" s="3">
        <v>0.01</v>
      </c>
      <c r="Q136" s="3">
        <v>0.7</v>
      </c>
      <c r="R136" s="3">
        <v>0.01</v>
      </c>
      <c r="S136" s="3">
        <v>2.15</v>
      </c>
      <c r="T136" s="3">
        <v>1E-3</v>
      </c>
      <c r="U136" s="3">
        <v>0.23</v>
      </c>
      <c r="V136" s="3">
        <v>7.1000000000000004E-3</v>
      </c>
      <c r="W136" s="3">
        <v>0.13100000000000001</v>
      </c>
      <c r="X136" s="3">
        <v>0</v>
      </c>
      <c r="Y136" s="3">
        <v>7.6</v>
      </c>
      <c r="Z136" s="3">
        <v>1.03E-2</v>
      </c>
      <c r="AA136" s="3">
        <v>0.14249999999999999</v>
      </c>
      <c r="AB136" s="3">
        <v>1.5E-3</v>
      </c>
      <c r="AC136" s="3">
        <v>8.0000000000000002E-3</v>
      </c>
      <c r="AD136" s="3">
        <v>1E-3</v>
      </c>
      <c r="AE136" s="3">
        <v>2.5000000000000001E-2</v>
      </c>
      <c r="AF136" s="3">
        <v>1E-3</v>
      </c>
      <c r="AG136" s="3">
        <v>6.5000000000000002E-2</v>
      </c>
      <c r="AH136" s="3">
        <v>2.0000000000000001E-4</v>
      </c>
      <c r="AI136" s="3">
        <v>3.5999999999999999E-3</v>
      </c>
      <c r="AJ136" s="3">
        <v>1E-4</v>
      </c>
      <c r="AK136" s="3">
        <v>4.1999999999999997E-3</v>
      </c>
      <c r="AL136" s="3">
        <v>0.15</v>
      </c>
      <c r="AM136" s="3">
        <v>0.42</v>
      </c>
      <c r="AN136" s="3">
        <v>1E-3</v>
      </c>
      <c r="AO136" s="3">
        <v>0.185</v>
      </c>
      <c r="AP136" t="str">
        <f t="shared" si="2"/>
        <v>('EN1.4301RAT', 0.009, 0.119, 0.33, 1.9, 0.001, 0.008, 0.022, 0.045, 0.18, 0.69, 6.31, 19.18, 16.03, 25.55, 0.01, 0.7, 0.01, 2.15, 0.001, 0.23, 0.0071, 0.131, 0, 7.6, 0.0103, 0.1425, 0.0015, 0.008, 0.001, 0.025, 0.001, 0.065, 0.0002, 0.0036, 0.0001, 0.0042, 0.15, 0.42, 0.001, 0.185),</v>
      </c>
    </row>
    <row r="137" spans="1:42" x14ac:dyDescent="0.2">
      <c r="A137" s="4" t="s">
        <v>169</v>
      </c>
      <c r="B137" s="4">
        <v>0</v>
      </c>
      <c r="C137" s="4">
        <v>0</v>
      </c>
      <c r="D137" s="4">
        <v>0</v>
      </c>
      <c r="E137" s="4">
        <v>0</v>
      </c>
      <c r="F137" s="4">
        <v>0</v>
      </c>
      <c r="G137" s="4">
        <v>0</v>
      </c>
      <c r="H137" s="4">
        <v>0</v>
      </c>
      <c r="I137" s="4">
        <v>0</v>
      </c>
      <c r="J137" s="4">
        <v>0</v>
      </c>
      <c r="K137" s="4">
        <v>0</v>
      </c>
      <c r="L137" s="4">
        <v>0</v>
      </c>
      <c r="M137" s="4">
        <v>0</v>
      </c>
      <c r="N137" s="4">
        <v>0</v>
      </c>
      <c r="O137" s="4">
        <v>0</v>
      </c>
      <c r="P137" s="4">
        <v>0</v>
      </c>
      <c r="Q137" s="4">
        <v>0</v>
      </c>
      <c r="R137" s="4">
        <v>0</v>
      </c>
      <c r="S137" s="4">
        <v>0</v>
      </c>
      <c r="T137" s="4">
        <v>0</v>
      </c>
      <c r="U137" s="4">
        <v>0</v>
      </c>
      <c r="V137" s="4">
        <v>0</v>
      </c>
      <c r="W137" s="4">
        <v>0</v>
      </c>
      <c r="X137" s="4">
        <v>0</v>
      </c>
      <c r="Y137" s="4">
        <v>0</v>
      </c>
      <c r="Z137" s="4">
        <v>0</v>
      </c>
      <c r="AA137" s="4">
        <v>0</v>
      </c>
      <c r="AB137" s="4">
        <v>0</v>
      </c>
      <c r="AC137" s="4">
        <v>0</v>
      </c>
      <c r="AD137" s="4">
        <v>0</v>
      </c>
      <c r="AE137" s="4">
        <v>0</v>
      </c>
      <c r="AF137" s="4">
        <v>0</v>
      </c>
      <c r="AG137" s="4">
        <v>0</v>
      </c>
      <c r="AH137" s="4">
        <v>0</v>
      </c>
      <c r="AI137" s="4">
        <v>0</v>
      </c>
      <c r="AJ137" s="4">
        <v>0</v>
      </c>
      <c r="AK137" s="4">
        <v>0</v>
      </c>
      <c r="AL137" s="4">
        <v>0</v>
      </c>
      <c r="AM137" s="4">
        <v>0</v>
      </c>
      <c r="AN137" s="4">
        <v>0</v>
      </c>
      <c r="AO137" s="4">
        <v>0</v>
      </c>
      <c r="AP137" t="str">
        <f t="shared" si="2"/>
        <v>('EN1.4307RAT', 0, 0, 0, 0, 0, 0, 0, 0, 0, 0, 0, 0, 0, 0, 0, 0, 0, 0, 0, 0, 0, 0, 0, 0, 0, 0, 0, 0, 0, 0, 0, 0, 0, 0, 0, 0, 0, 0, 0, 0),</v>
      </c>
    </row>
    <row r="138" spans="1:42" x14ac:dyDescent="0.2">
      <c r="A138" s="3" t="s">
        <v>170</v>
      </c>
      <c r="B138" s="3">
        <v>1.7999999999999999E-2</v>
      </c>
      <c r="C138" s="3">
        <v>2.8000000000000001E-2</v>
      </c>
      <c r="D138" s="3">
        <v>1.3</v>
      </c>
      <c r="E138" s="3">
        <v>1.8</v>
      </c>
      <c r="F138" s="3">
        <v>2E-3</v>
      </c>
      <c r="G138" s="3">
        <v>3.0000000000000001E-3</v>
      </c>
      <c r="H138" s="3">
        <v>3.5999999999999997E-2</v>
      </c>
      <c r="I138" s="3">
        <v>0.04</v>
      </c>
      <c r="J138" s="3">
        <v>0.19</v>
      </c>
      <c r="K138" s="3">
        <v>0.37</v>
      </c>
      <c r="L138" s="3">
        <v>8.02</v>
      </c>
      <c r="M138" s="3">
        <v>0.08</v>
      </c>
      <c r="N138" s="3">
        <v>18.010000000000002</v>
      </c>
      <c r="O138" s="3">
        <v>18.350000000000001</v>
      </c>
      <c r="P138" s="3">
        <v>0.15</v>
      </c>
      <c r="Q138" s="3">
        <v>0.5</v>
      </c>
      <c r="R138" s="3">
        <v>0.1</v>
      </c>
      <c r="S138" s="3">
        <v>0.35</v>
      </c>
      <c r="T138" s="3">
        <v>2E-3</v>
      </c>
      <c r="U138" s="3">
        <v>3.0000000000000001E-3</v>
      </c>
      <c r="V138" s="3">
        <v>0</v>
      </c>
      <c r="W138" s="3">
        <v>0.09</v>
      </c>
      <c r="X138" s="3">
        <v>0</v>
      </c>
      <c r="Y138" s="3">
        <v>7</v>
      </c>
      <c r="Z138" s="3">
        <v>0.06</v>
      </c>
      <c r="AA138" s="3">
        <v>9.5500000000000002E-2</v>
      </c>
      <c r="AB138" s="3">
        <v>4.1000000000000003E-3</v>
      </c>
      <c r="AC138" s="3">
        <v>5.1999999999999998E-3</v>
      </c>
      <c r="AD138" s="3">
        <v>5.4999999999999997E-3</v>
      </c>
      <c r="AE138" s="3">
        <v>1.6299999999999999E-2</v>
      </c>
      <c r="AF138" s="3">
        <v>3.0000000000000001E-3</v>
      </c>
      <c r="AG138" s="3">
        <v>9.9000000000000008E-3</v>
      </c>
      <c r="AH138" s="3">
        <v>2.9999999999999997E-4</v>
      </c>
      <c r="AI138" s="3">
        <v>2.7000000000000001E-3</v>
      </c>
      <c r="AJ138" s="3">
        <v>2.9999999999999997E-4</v>
      </c>
      <c r="AK138" s="3">
        <v>6.9999999999999999E-4</v>
      </c>
      <c r="AL138" s="3">
        <v>0.16</v>
      </c>
      <c r="AM138" s="3">
        <v>0.25</v>
      </c>
      <c r="AN138" s="3">
        <v>0</v>
      </c>
      <c r="AO138" s="3">
        <v>1.7999999999999999E-2</v>
      </c>
      <c r="AP138" t="str">
        <f t="shared" si="2"/>
        <v>('304LRAT', 0.018, 0.028, 1.3, 1.8, 0.002, 0.003, 0.036, 0.04, 0.19, 0.37, 8.02, 0.08, 18.01, 18.35, 0.15, 0.5, 0.1, 0.35, 0.002, 0.003, 0, 0.09, 0, 7, 0.06, 0.0955, 0.0041, 0.0052, 0.0055, 0.0163, 0.003, 0.0099, 0.0003, 0.0027, 0.0003, 0.0007, 0.16, 0.25, 0, 0.018),</v>
      </c>
    </row>
    <row r="139" spans="1:42" x14ac:dyDescent="0.2">
      <c r="A139" s="4" t="s">
        <v>171</v>
      </c>
      <c r="B139" s="4">
        <v>0</v>
      </c>
      <c r="C139" s="4">
        <v>0</v>
      </c>
      <c r="D139" s="4">
        <v>0</v>
      </c>
      <c r="E139" s="4">
        <v>0</v>
      </c>
      <c r="F139" s="4">
        <v>0</v>
      </c>
      <c r="G139" s="4">
        <v>0</v>
      </c>
      <c r="H139" s="4">
        <v>0</v>
      </c>
      <c r="I139" s="4">
        <v>0</v>
      </c>
      <c r="J139" s="4">
        <v>0</v>
      </c>
      <c r="K139" s="4">
        <v>0</v>
      </c>
      <c r="L139" s="4">
        <v>0</v>
      </c>
      <c r="M139" s="4">
        <v>0</v>
      </c>
      <c r="N139" s="4">
        <v>0</v>
      </c>
      <c r="O139" s="4">
        <v>0</v>
      </c>
      <c r="P139" s="4">
        <v>0</v>
      </c>
      <c r="Q139" s="4">
        <v>0</v>
      </c>
      <c r="R139" s="4">
        <v>0</v>
      </c>
      <c r="S139" s="4">
        <v>0</v>
      </c>
      <c r="T139" s="4">
        <v>0</v>
      </c>
      <c r="U139" s="4">
        <v>0</v>
      </c>
      <c r="V139" s="4">
        <v>0</v>
      </c>
      <c r="W139" s="4">
        <v>0</v>
      </c>
      <c r="X139" s="4">
        <v>0</v>
      </c>
      <c r="Y139" s="4">
        <v>0</v>
      </c>
      <c r="Z139" s="4">
        <v>0</v>
      </c>
      <c r="AA139" s="4">
        <v>0</v>
      </c>
      <c r="AB139" s="4">
        <v>0</v>
      </c>
      <c r="AC139" s="4">
        <v>0</v>
      </c>
      <c r="AD139" s="4">
        <v>0</v>
      </c>
      <c r="AE139" s="4">
        <v>0</v>
      </c>
      <c r="AF139" s="4">
        <v>0</v>
      </c>
      <c r="AG139" s="4">
        <v>0</v>
      </c>
      <c r="AH139" s="4">
        <v>0</v>
      </c>
      <c r="AI139" s="4">
        <v>0</v>
      </c>
      <c r="AJ139" s="4">
        <v>0</v>
      </c>
      <c r="AK139" s="4">
        <v>0</v>
      </c>
      <c r="AL139" s="4">
        <v>0</v>
      </c>
      <c r="AM139" s="4">
        <v>0</v>
      </c>
      <c r="AN139" s="4">
        <v>0</v>
      </c>
      <c r="AO139" s="4">
        <v>0</v>
      </c>
      <c r="AP139" t="str">
        <f t="shared" si="2"/>
        <v>('EN1.4509', 0, 0, 0, 0, 0, 0, 0, 0, 0, 0, 0, 0, 0, 0, 0, 0, 0, 0, 0, 0, 0, 0, 0, 0, 0, 0, 0, 0, 0, 0, 0, 0, 0, 0, 0, 0, 0, 0, 0, 0),</v>
      </c>
    </row>
    <row r="140" spans="1:42" x14ac:dyDescent="0.2">
      <c r="A140" s="3" t="s">
        <v>172</v>
      </c>
      <c r="B140" s="3">
        <v>0</v>
      </c>
      <c r="C140" s="3">
        <v>0</v>
      </c>
      <c r="D140" s="3">
        <v>0</v>
      </c>
      <c r="E140" s="3">
        <v>0</v>
      </c>
      <c r="F140" s="3">
        <v>0</v>
      </c>
      <c r="G140" s="3">
        <v>0</v>
      </c>
      <c r="H140" s="3">
        <v>0</v>
      </c>
      <c r="I140" s="3">
        <v>0</v>
      </c>
      <c r="J140" s="3">
        <v>0</v>
      </c>
      <c r="K140" s="3">
        <v>0</v>
      </c>
      <c r="L140" s="3">
        <v>0</v>
      </c>
      <c r="M140" s="3">
        <v>0</v>
      </c>
      <c r="N140" s="3">
        <v>0</v>
      </c>
      <c r="O140" s="3">
        <v>0</v>
      </c>
      <c r="P140" s="3">
        <v>0</v>
      </c>
      <c r="Q140" s="3">
        <v>0</v>
      </c>
      <c r="R140" s="3">
        <v>0</v>
      </c>
      <c r="S140" s="3">
        <v>0</v>
      </c>
      <c r="T140" s="3">
        <v>0</v>
      </c>
      <c r="U140" s="3">
        <v>0</v>
      </c>
      <c r="V140" s="3">
        <v>0</v>
      </c>
      <c r="W140" s="3">
        <v>0</v>
      </c>
      <c r="X140" s="3">
        <v>0</v>
      </c>
      <c r="Y140" s="3">
        <v>0</v>
      </c>
      <c r="Z140" s="3">
        <v>0</v>
      </c>
      <c r="AA140" s="3">
        <v>0</v>
      </c>
      <c r="AB140" s="3">
        <v>0</v>
      </c>
      <c r="AC140" s="3">
        <v>0</v>
      </c>
      <c r="AD140" s="3">
        <v>0</v>
      </c>
      <c r="AE140" s="3">
        <v>0</v>
      </c>
      <c r="AF140" s="3">
        <v>0</v>
      </c>
      <c r="AG140" s="3">
        <v>0</v>
      </c>
      <c r="AH140" s="3">
        <v>0</v>
      </c>
      <c r="AI140" s="3">
        <v>0</v>
      </c>
      <c r="AJ140" s="3">
        <v>0</v>
      </c>
      <c r="AK140" s="3">
        <v>0</v>
      </c>
      <c r="AL140" s="3">
        <v>0</v>
      </c>
      <c r="AM140" s="3">
        <v>0</v>
      </c>
      <c r="AN140" s="3">
        <v>0</v>
      </c>
      <c r="AO140" s="3">
        <v>0</v>
      </c>
      <c r="AP140" t="str">
        <f t="shared" si="2"/>
        <v>('C03', 0, 0, 0, 0, 0, 0, 0, 0, 0, 0, 0, 0, 0, 0, 0, 0, 0, 0, 0, 0, 0, 0, 0, 0, 0, 0, 0, 0, 0, 0, 0, 0, 0, 0, 0, 0, 0, 0, 0, 0),</v>
      </c>
    </row>
    <row r="141" spans="1:42" x14ac:dyDescent="0.2">
      <c r="A141" s="4" t="s">
        <v>173</v>
      </c>
      <c r="B141" s="4">
        <v>1.6E-2</v>
      </c>
      <c r="C141" s="4">
        <v>2.5000000000000001E-2</v>
      </c>
      <c r="D141" s="4">
        <v>0.75</v>
      </c>
      <c r="E141" s="4">
        <v>0.95</v>
      </c>
      <c r="F141" s="4">
        <v>1E-3</v>
      </c>
      <c r="G141" s="4">
        <v>1E-3</v>
      </c>
      <c r="H141" s="4">
        <v>2.9000000000000001E-2</v>
      </c>
      <c r="I141" s="4">
        <v>0.03</v>
      </c>
      <c r="J141" s="4">
        <v>0.2</v>
      </c>
      <c r="K141" s="4">
        <v>0.4</v>
      </c>
      <c r="L141" s="4">
        <v>7</v>
      </c>
      <c r="M141" s="4">
        <v>7.1</v>
      </c>
      <c r="N141" s="4">
        <v>25.6</v>
      </c>
      <c r="O141" s="4">
        <v>25.8</v>
      </c>
      <c r="P141" s="4">
        <v>0.16</v>
      </c>
      <c r="Q141" s="4">
        <v>0.45</v>
      </c>
      <c r="R141" s="4">
        <v>3.55</v>
      </c>
      <c r="S141" s="4">
        <v>3.6</v>
      </c>
      <c r="T141" s="4">
        <v>1E-3</v>
      </c>
      <c r="U141" s="4">
        <v>1E-3</v>
      </c>
      <c r="V141" s="4">
        <v>6.2E-2</v>
      </c>
      <c r="W141" s="4">
        <v>6.2E-2</v>
      </c>
      <c r="X141" s="4">
        <v>0</v>
      </c>
      <c r="Y141" s="4">
        <v>0</v>
      </c>
      <c r="Z141" s="4">
        <v>0.25</v>
      </c>
      <c r="AA141" s="4">
        <v>0.27</v>
      </c>
      <c r="AB141" s="4">
        <v>4.7000000000000002E-3</v>
      </c>
      <c r="AC141" s="4">
        <v>4.7000000000000002E-3</v>
      </c>
      <c r="AD141" s="4">
        <v>4.3E-3</v>
      </c>
      <c r="AE141" s="4">
        <v>4.3E-3</v>
      </c>
      <c r="AF141" s="4">
        <v>1.4999999999999999E-2</v>
      </c>
      <c r="AG141" s="4">
        <v>3.5000000000000003E-2</v>
      </c>
      <c r="AH141" s="4">
        <v>1.6000000000000001E-3</v>
      </c>
      <c r="AI141" s="4">
        <v>1.6000000000000001E-3</v>
      </c>
      <c r="AJ141" s="4">
        <v>2E-3</v>
      </c>
      <c r="AK141" s="4">
        <v>4.0000000000000001E-3</v>
      </c>
      <c r="AL141" s="4">
        <v>0.19</v>
      </c>
      <c r="AM141" s="4">
        <v>0.19</v>
      </c>
      <c r="AN141" s="4">
        <v>1.6E-2</v>
      </c>
      <c r="AO141" s="4">
        <v>1.6E-2</v>
      </c>
      <c r="AP141" t="str">
        <f t="shared" si="2"/>
        <v>('UNS 32750', 0.016, 0.025, 0.75, 0.95, 0.001, 0.001, 0.029, 0.03, 0.2, 0.4, 7, 7.1, 25.6, 25.8, 0.16, 0.45, 3.55, 3.6, 0.001, 0.001, 0.062, 0.062, 0, 0, 0.25, 0.27, 0.0047, 0.0047, 0.0043, 0.0043, 0.015, 0.035, 0.0016, 0.0016, 0.002, 0.004, 0.19, 0.19, 0.016, 0.016),</v>
      </c>
    </row>
    <row r="142" spans="1:42" x14ac:dyDescent="0.2">
      <c r="A142" s="3" t="s">
        <v>174</v>
      </c>
      <c r="B142" s="3">
        <v>0</v>
      </c>
      <c r="C142" s="3">
        <v>0</v>
      </c>
      <c r="D142" s="3">
        <v>0</v>
      </c>
      <c r="E142" s="3">
        <v>0</v>
      </c>
      <c r="F142" s="3">
        <v>0</v>
      </c>
      <c r="G142" s="3">
        <v>0</v>
      </c>
      <c r="H142" s="3">
        <v>0</v>
      </c>
      <c r="I142" s="3">
        <v>0</v>
      </c>
      <c r="J142" s="3">
        <v>0</v>
      </c>
      <c r="K142" s="3">
        <v>0</v>
      </c>
      <c r="L142" s="3">
        <v>0</v>
      </c>
      <c r="M142" s="3">
        <v>0</v>
      </c>
      <c r="N142" s="3">
        <v>0</v>
      </c>
      <c r="O142" s="3">
        <v>0</v>
      </c>
      <c r="P142" s="3">
        <v>0</v>
      </c>
      <c r="Q142" s="3">
        <v>0</v>
      </c>
      <c r="R142" s="3">
        <v>0</v>
      </c>
      <c r="S142" s="3">
        <v>0</v>
      </c>
      <c r="T142" s="3">
        <v>0</v>
      </c>
      <c r="U142" s="3">
        <v>0</v>
      </c>
      <c r="V142" s="3">
        <v>0</v>
      </c>
      <c r="W142" s="3">
        <v>0</v>
      </c>
      <c r="X142" s="3">
        <v>0</v>
      </c>
      <c r="Y142" s="3">
        <v>0</v>
      </c>
      <c r="Z142" s="3">
        <v>0</v>
      </c>
      <c r="AA142" s="3">
        <v>0</v>
      </c>
      <c r="AB142" s="3">
        <v>0</v>
      </c>
      <c r="AC142" s="3">
        <v>0</v>
      </c>
      <c r="AD142" s="3">
        <v>0</v>
      </c>
      <c r="AE142" s="3">
        <v>0</v>
      </c>
      <c r="AF142" s="3">
        <v>0</v>
      </c>
      <c r="AG142" s="3">
        <v>0</v>
      </c>
      <c r="AH142" s="3">
        <v>0</v>
      </c>
      <c r="AI142" s="3">
        <v>0</v>
      </c>
      <c r="AJ142" s="3">
        <v>0</v>
      </c>
      <c r="AK142" s="3">
        <v>0</v>
      </c>
      <c r="AL142" s="3">
        <v>0</v>
      </c>
      <c r="AM142" s="3">
        <v>0</v>
      </c>
      <c r="AN142" s="3">
        <v>0</v>
      </c>
      <c r="AO142" s="3">
        <v>0</v>
      </c>
      <c r="AP142" t="str">
        <f t="shared" si="2"/>
        <v>('AISI 444', 0, 0, 0, 0, 0, 0, 0, 0, 0, 0, 0, 0, 0, 0, 0, 0, 0, 0, 0, 0, 0, 0, 0, 0, 0, 0, 0, 0, 0, 0, 0, 0, 0, 0, 0, 0, 0, 0, 0, 0),</v>
      </c>
    </row>
    <row r="143" spans="1:42" x14ac:dyDescent="0.2">
      <c r="A143" s="4" t="s">
        <v>175</v>
      </c>
      <c r="B143" s="4">
        <v>0</v>
      </c>
      <c r="C143" s="4">
        <v>0</v>
      </c>
      <c r="D143" s="4">
        <v>0</v>
      </c>
      <c r="E143" s="4">
        <v>0</v>
      </c>
      <c r="F143" s="4">
        <v>0</v>
      </c>
      <c r="G143" s="4">
        <v>0</v>
      </c>
      <c r="H143" s="4">
        <v>0</v>
      </c>
      <c r="I143" s="4">
        <v>0</v>
      </c>
      <c r="J143" s="4">
        <v>0</v>
      </c>
      <c r="K143" s="4">
        <v>0</v>
      </c>
      <c r="L143" s="4">
        <v>0</v>
      </c>
      <c r="M143" s="4">
        <v>0</v>
      </c>
      <c r="N143" s="4">
        <v>0</v>
      </c>
      <c r="O143" s="4">
        <v>0</v>
      </c>
      <c r="P143" s="4">
        <v>0</v>
      </c>
      <c r="Q143" s="4">
        <v>0</v>
      </c>
      <c r="R143" s="4">
        <v>0</v>
      </c>
      <c r="S143" s="4">
        <v>0</v>
      </c>
      <c r="T143" s="4">
        <v>0</v>
      </c>
      <c r="U143" s="4">
        <v>0</v>
      </c>
      <c r="V143" s="4">
        <v>0</v>
      </c>
      <c r="W143" s="4">
        <v>0</v>
      </c>
      <c r="X143" s="4">
        <v>0</v>
      </c>
      <c r="Y143" s="4">
        <v>0</v>
      </c>
      <c r="Z143" s="4">
        <v>0</v>
      </c>
      <c r="AA143" s="4">
        <v>0</v>
      </c>
      <c r="AB143" s="4">
        <v>0</v>
      </c>
      <c r="AC143" s="4">
        <v>0</v>
      </c>
      <c r="AD143" s="4">
        <v>0</v>
      </c>
      <c r="AE143" s="4">
        <v>0</v>
      </c>
      <c r="AF143" s="4">
        <v>0</v>
      </c>
      <c r="AG143" s="4">
        <v>0</v>
      </c>
      <c r="AH143" s="4">
        <v>0</v>
      </c>
      <c r="AI143" s="4">
        <v>0</v>
      </c>
      <c r="AJ143" s="4">
        <v>0</v>
      </c>
      <c r="AK143" s="4">
        <v>0</v>
      </c>
      <c r="AL143" s="4">
        <v>0</v>
      </c>
      <c r="AM143" s="4">
        <v>0</v>
      </c>
      <c r="AN143" s="4">
        <v>0</v>
      </c>
      <c r="AO143" s="4">
        <v>0</v>
      </c>
      <c r="AP143" t="str">
        <f t="shared" si="2"/>
        <v>('EN100252S235JRAR', 0, 0, 0, 0, 0, 0, 0, 0, 0, 0, 0, 0, 0, 0, 0, 0, 0, 0, 0, 0, 0, 0, 0, 0, 0, 0, 0, 0, 0, 0, 0, 0, 0, 0, 0, 0, 0, 0, 0, 0),</v>
      </c>
    </row>
    <row r="144" spans="1:42" x14ac:dyDescent="0.2">
      <c r="A144" s="3" t="s">
        <v>176</v>
      </c>
      <c r="B144" s="3">
        <v>0</v>
      </c>
      <c r="C144" s="3">
        <v>0</v>
      </c>
      <c r="D144" s="3">
        <v>0</v>
      </c>
      <c r="E144" s="3">
        <v>0</v>
      </c>
      <c r="F144" s="3">
        <v>0</v>
      </c>
      <c r="G144" s="3">
        <v>0</v>
      </c>
      <c r="H144" s="3">
        <v>0</v>
      </c>
      <c r="I144" s="3">
        <v>0</v>
      </c>
      <c r="J144" s="3">
        <v>0</v>
      </c>
      <c r="K144" s="3">
        <v>0</v>
      </c>
      <c r="L144" s="3">
        <v>0</v>
      </c>
      <c r="M144" s="3">
        <v>0</v>
      </c>
      <c r="N144" s="3">
        <v>0</v>
      </c>
      <c r="O144" s="3">
        <v>0</v>
      </c>
      <c r="P144" s="3">
        <v>0</v>
      </c>
      <c r="Q144" s="3">
        <v>0</v>
      </c>
      <c r="R144" s="3">
        <v>0</v>
      </c>
      <c r="S144" s="3">
        <v>0</v>
      </c>
      <c r="T144" s="3">
        <v>0</v>
      </c>
      <c r="U144" s="3">
        <v>0</v>
      </c>
      <c r="V144" s="3">
        <v>0</v>
      </c>
      <c r="W144" s="3">
        <v>0</v>
      </c>
      <c r="X144" s="3">
        <v>0</v>
      </c>
      <c r="Y144" s="3">
        <v>0</v>
      </c>
      <c r="Z144" s="3">
        <v>0</v>
      </c>
      <c r="AA144" s="3">
        <v>0</v>
      </c>
      <c r="AB144" s="3">
        <v>0</v>
      </c>
      <c r="AC144" s="3">
        <v>0</v>
      </c>
      <c r="AD144" s="3">
        <v>0</v>
      </c>
      <c r="AE144" s="3">
        <v>0</v>
      </c>
      <c r="AF144" s="3">
        <v>0</v>
      </c>
      <c r="AG144" s="3">
        <v>0</v>
      </c>
      <c r="AH144" s="3">
        <v>0</v>
      </c>
      <c r="AI144" s="3">
        <v>0</v>
      </c>
      <c r="AJ144" s="3">
        <v>0</v>
      </c>
      <c r="AK144" s="3">
        <v>0</v>
      </c>
      <c r="AL144" s="3">
        <v>0</v>
      </c>
      <c r="AM144" s="3">
        <v>0</v>
      </c>
      <c r="AN144" s="3">
        <v>0</v>
      </c>
      <c r="AO144" s="3">
        <v>0</v>
      </c>
      <c r="AP144" t="str">
        <f t="shared" si="2"/>
        <v>('EN100252S355J2+N', 0, 0, 0, 0, 0, 0, 0, 0, 0, 0, 0, 0, 0, 0, 0, 0, 0, 0, 0, 0, 0, 0, 0, 0, 0, 0, 0, 0, 0, 0, 0, 0, 0, 0, 0, 0, 0, 0, 0, 0),</v>
      </c>
    </row>
    <row r="145" spans="1:42" x14ac:dyDescent="0.2">
      <c r="A145" s="4" t="s">
        <v>177</v>
      </c>
      <c r="B145" s="4">
        <v>0</v>
      </c>
      <c r="C145" s="4">
        <v>0</v>
      </c>
      <c r="D145" s="4">
        <v>0</v>
      </c>
      <c r="E145" s="4">
        <v>0</v>
      </c>
      <c r="F145" s="4">
        <v>0</v>
      </c>
      <c r="G145" s="4">
        <v>0</v>
      </c>
      <c r="H145" s="4">
        <v>0</v>
      </c>
      <c r="I145" s="4">
        <v>0</v>
      </c>
      <c r="J145" s="4">
        <v>0</v>
      </c>
      <c r="K145" s="4">
        <v>0</v>
      </c>
      <c r="L145" s="4">
        <v>0</v>
      </c>
      <c r="M145" s="4">
        <v>0</v>
      </c>
      <c r="N145" s="4">
        <v>0</v>
      </c>
      <c r="O145" s="4">
        <v>0</v>
      </c>
      <c r="P145" s="4">
        <v>0</v>
      </c>
      <c r="Q145" s="4">
        <v>0</v>
      </c>
      <c r="R145" s="4">
        <v>0</v>
      </c>
      <c r="S145" s="4">
        <v>0</v>
      </c>
      <c r="T145" s="4">
        <v>0</v>
      </c>
      <c r="U145" s="4">
        <v>0</v>
      </c>
      <c r="V145" s="4">
        <v>0</v>
      </c>
      <c r="W145" s="4">
        <v>0</v>
      </c>
      <c r="X145" s="4">
        <v>0</v>
      </c>
      <c r="Y145" s="4">
        <v>0</v>
      </c>
      <c r="Z145" s="4">
        <v>0</v>
      </c>
      <c r="AA145" s="4">
        <v>0</v>
      </c>
      <c r="AB145" s="4">
        <v>0</v>
      </c>
      <c r="AC145" s="4">
        <v>0</v>
      </c>
      <c r="AD145" s="4">
        <v>0</v>
      </c>
      <c r="AE145" s="4">
        <v>0</v>
      </c>
      <c r="AF145" s="4">
        <v>0</v>
      </c>
      <c r="AG145" s="4">
        <v>0</v>
      </c>
      <c r="AH145" s="4">
        <v>0</v>
      </c>
      <c r="AI145" s="4">
        <v>0</v>
      </c>
      <c r="AJ145" s="4">
        <v>0</v>
      </c>
      <c r="AK145" s="4">
        <v>0</v>
      </c>
      <c r="AL145" s="4">
        <v>0</v>
      </c>
      <c r="AM145" s="4">
        <v>0</v>
      </c>
      <c r="AN145" s="4">
        <v>0</v>
      </c>
      <c r="AO145" s="4">
        <v>0</v>
      </c>
      <c r="AP145" t="str">
        <f t="shared" si="2"/>
        <v>('EN100252S275JRAR', 0, 0, 0, 0, 0, 0, 0, 0, 0, 0, 0, 0, 0, 0, 0, 0, 0, 0, 0, 0, 0, 0, 0, 0, 0, 0, 0, 0, 0, 0, 0, 0, 0, 0, 0, 0, 0, 0, 0, 0),</v>
      </c>
    </row>
    <row r="146" spans="1:42" x14ac:dyDescent="0.2">
      <c r="A146" s="3" t="s">
        <v>178</v>
      </c>
      <c r="B146" s="3">
        <v>0</v>
      </c>
      <c r="C146" s="3">
        <v>0</v>
      </c>
      <c r="D146" s="3">
        <v>0</v>
      </c>
      <c r="E146" s="3">
        <v>0</v>
      </c>
      <c r="F146" s="3">
        <v>0</v>
      </c>
      <c r="G146" s="3">
        <v>0</v>
      </c>
      <c r="H146" s="3">
        <v>0</v>
      </c>
      <c r="I146" s="3">
        <v>0</v>
      </c>
      <c r="J146" s="3">
        <v>0</v>
      </c>
      <c r="K146" s="3">
        <v>0</v>
      </c>
      <c r="L146" s="3">
        <v>0</v>
      </c>
      <c r="M146" s="3">
        <v>0</v>
      </c>
      <c r="N146" s="3">
        <v>0</v>
      </c>
      <c r="O146" s="3">
        <v>0</v>
      </c>
      <c r="P146" s="3">
        <v>0</v>
      </c>
      <c r="Q146" s="3">
        <v>0</v>
      </c>
      <c r="R146" s="3">
        <v>0</v>
      </c>
      <c r="S146" s="3">
        <v>0</v>
      </c>
      <c r="T146" s="3">
        <v>0</v>
      </c>
      <c r="U146" s="3">
        <v>0</v>
      </c>
      <c r="V146" s="3">
        <v>0</v>
      </c>
      <c r="W146" s="3">
        <v>0</v>
      </c>
      <c r="X146" s="3">
        <v>0</v>
      </c>
      <c r="Y146" s="3">
        <v>0</v>
      </c>
      <c r="Z146" s="3">
        <v>0</v>
      </c>
      <c r="AA146" s="3">
        <v>0</v>
      </c>
      <c r="AB146" s="3">
        <v>0</v>
      </c>
      <c r="AC146" s="3">
        <v>0</v>
      </c>
      <c r="AD146" s="3">
        <v>0</v>
      </c>
      <c r="AE146" s="3">
        <v>0</v>
      </c>
      <c r="AF146" s="3">
        <v>0</v>
      </c>
      <c r="AG146" s="3">
        <v>0</v>
      </c>
      <c r="AH146" s="3">
        <v>0</v>
      </c>
      <c r="AI146" s="3">
        <v>0</v>
      </c>
      <c r="AJ146" s="3">
        <v>0</v>
      </c>
      <c r="AK146" s="3">
        <v>0</v>
      </c>
      <c r="AL146" s="3">
        <v>0</v>
      </c>
      <c r="AM146" s="3">
        <v>0</v>
      </c>
      <c r="AN146" s="3">
        <v>0</v>
      </c>
      <c r="AO146" s="3">
        <v>0</v>
      </c>
      <c r="AP146" t="str">
        <f t="shared" si="2"/>
        <v>('JISG3101SS400', 0, 0, 0, 0, 0, 0, 0, 0, 0, 0, 0, 0, 0, 0, 0, 0, 0, 0, 0, 0, 0, 0, 0, 0, 0, 0, 0, 0, 0, 0, 0, 0, 0, 0, 0, 0, 0, 0, 0, 0),</v>
      </c>
    </row>
    <row r="147" spans="1:42" x14ac:dyDescent="0.2">
      <c r="A147" s="4" t="s">
        <v>179</v>
      </c>
      <c r="B147" s="4">
        <v>8.9999999999999993E-3</v>
      </c>
      <c r="C147" s="4">
        <v>0.11899999999999999</v>
      </c>
      <c r="D147" s="4">
        <v>0.33</v>
      </c>
      <c r="E147" s="4">
        <v>1.9</v>
      </c>
      <c r="F147" s="4">
        <v>1E-3</v>
      </c>
      <c r="G147" s="4">
        <v>8.0000000000000002E-3</v>
      </c>
      <c r="H147" s="4">
        <v>2.1999999999999999E-2</v>
      </c>
      <c r="I147" s="4">
        <v>4.4999999999999998E-2</v>
      </c>
      <c r="J147" s="4">
        <v>0.18</v>
      </c>
      <c r="K147" s="4">
        <v>0.69</v>
      </c>
      <c r="L147" s="4">
        <v>6.31</v>
      </c>
      <c r="M147" s="4">
        <v>19.18</v>
      </c>
      <c r="N147" s="4">
        <v>16.03</v>
      </c>
      <c r="O147" s="4">
        <v>25.55</v>
      </c>
      <c r="P147" s="4">
        <v>0.01</v>
      </c>
      <c r="Q147" s="4">
        <v>0.7</v>
      </c>
      <c r="R147" s="4">
        <v>0.01</v>
      </c>
      <c r="S147" s="4">
        <v>2.15</v>
      </c>
      <c r="T147" s="4">
        <v>1E-3</v>
      </c>
      <c r="U147" s="4">
        <v>0.23</v>
      </c>
      <c r="V147" s="4">
        <v>7.1000000000000004E-3</v>
      </c>
      <c r="W147" s="4">
        <v>0.13100000000000001</v>
      </c>
      <c r="X147" s="4">
        <v>0</v>
      </c>
      <c r="Y147" s="4">
        <v>7.6</v>
      </c>
      <c r="Z147" s="4">
        <v>1.03E-2</v>
      </c>
      <c r="AA147" s="4">
        <v>0.14249999999999999</v>
      </c>
      <c r="AB147" s="4">
        <v>1.5E-3</v>
      </c>
      <c r="AC147" s="4">
        <v>8.0000000000000002E-3</v>
      </c>
      <c r="AD147" s="4">
        <v>1E-3</v>
      </c>
      <c r="AE147" s="4">
        <v>2.5000000000000001E-2</v>
      </c>
      <c r="AF147" s="4">
        <v>1E-3</v>
      </c>
      <c r="AG147" s="4">
        <v>6.5000000000000002E-2</v>
      </c>
      <c r="AH147" s="4">
        <v>2.0000000000000001E-4</v>
      </c>
      <c r="AI147" s="4">
        <v>3.5999999999999999E-3</v>
      </c>
      <c r="AJ147" s="4">
        <v>1E-4</v>
      </c>
      <c r="AK147" s="4">
        <v>4.1999999999999997E-3</v>
      </c>
      <c r="AL147" s="4">
        <v>0.15</v>
      </c>
      <c r="AM147" s="4">
        <v>0.42</v>
      </c>
      <c r="AN147" s="4">
        <v>1E-3</v>
      </c>
      <c r="AO147" s="4">
        <v>0.185</v>
      </c>
      <c r="AP147" t="str">
        <f t="shared" si="2"/>
        <v>('304P', 0.009, 0.119, 0.33, 1.9, 0.001, 0.008, 0.022, 0.045, 0.18, 0.69, 6.31, 19.18, 16.03, 25.55, 0.01, 0.7, 0.01, 2.15, 0.001, 0.23, 0.0071, 0.131, 0, 7.6, 0.0103, 0.1425, 0.0015, 0.008, 0.001, 0.025, 0.001, 0.065, 0.0002, 0.0036, 0.0001, 0.0042, 0.15, 0.42, 0.001, 0.185),</v>
      </c>
    </row>
    <row r="148" spans="1:42" x14ac:dyDescent="0.2">
      <c r="A148" s="3" t="s">
        <v>180</v>
      </c>
      <c r="B148" s="3">
        <v>0.13</v>
      </c>
      <c r="C148" s="3">
        <v>0.14000000000000001</v>
      </c>
      <c r="D148" s="3">
        <v>9.6999999999999993</v>
      </c>
      <c r="E148" s="3">
        <v>10.09</v>
      </c>
      <c r="F148" s="3">
        <v>1E-3</v>
      </c>
      <c r="G148" s="3">
        <v>7.0000000000000001E-3</v>
      </c>
      <c r="H148" s="3">
        <v>0.03</v>
      </c>
      <c r="I148" s="3">
        <v>0.12</v>
      </c>
      <c r="J148" s="3">
        <v>0.34</v>
      </c>
      <c r="K148" s="3">
        <v>0.45</v>
      </c>
      <c r="L148" s="3">
        <v>0.9</v>
      </c>
      <c r="M148" s="3">
        <v>0.95</v>
      </c>
      <c r="N148" s="3">
        <v>13.7</v>
      </c>
      <c r="O148" s="3">
        <v>14.59</v>
      </c>
      <c r="P148" s="3">
        <v>0.75</v>
      </c>
      <c r="Q148" s="3">
        <v>0.8</v>
      </c>
      <c r="R148" s="3">
        <v>0.04</v>
      </c>
      <c r="S148" s="3">
        <v>0.09</v>
      </c>
      <c r="T148" s="3">
        <v>1E-3</v>
      </c>
      <c r="U148" s="3">
        <v>5.0000000000000001E-3</v>
      </c>
      <c r="V148" s="3">
        <v>0</v>
      </c>
      <c r="W148" s="3">
        <v>6.4000000000000001E-2</v>
      </c>
      <c r="X148" s="3">
        <v>0</v>
      </c>
      <c r="Y148" s="3">
        <v>7.6</v>
      </c>
      <c r="Z148" s="3">
        <v>0.14499999999999999</v>
      </c>
      <c r="AA148" s="3">
        <v>0.17</v>
      </c>
      <c r="AB148" s="3">
        <v>3.5999999999999999E-3</v>
      </c>
      <c r="AC148" s="3">
        <v>7.1999999999999998E-3</v>
      </c>
      <c r="AD148" s="3">
        <v>4.0000000000000001E-3</v>
      </c>
      <c r="AE148" s="3">
        <v>1.9E-2</v>
      </c>
      <c r="AF148" s="3">
        <v>2E-3</v>
      </c>
      <c r="AG148" s="3">
        <v>7.6E-3</v>
      </c>
      <c r="AH148" s="3">
        <v>2.0000000000000001E-4</v>
      </c>
      <c r="AI148" s="3">
        <v>1.2999999999999999E-3</v>
      </c>
      <c r="AJ148" s="3">
        <v>5.9999999999999995E-4</v>
      </c>
      <c r="AK148" s="3">
        <v>5.1000000000000004E-3</v>
      </c>
      <c r="AL148" s="3">
        <v>0.05</v>
      </c>
      <c r="AM148" s="3">
        <v>0.15</v>
      </c>
      <c r="AN148" s="3">
        <v>0</v>
      </c>
      <c r="AO148" s="3">
        <v>1.4999999999999999E-2</v>
      </c>
      <c r="AP148" t="str">
        <f t="shared" si="2"/>
        <v>('JSLUSDM', 0.13, 0.14, 9.7, 10.09, 0.001, 0.007, 0.03, 0.12, 0.34, 0.45, 0.9, 0.95, 13.7, 14.59, 0.75, 0.8, 0.04, 0.09, 0.001, 0.005, 0, 0.064, 0, 7.6, 0.145, 0.17, 0.0036, 0.0072, 0.004, 0.019, 0.002, 0.0076, 0.0002, 0.0013, 0.0006, 0.0051, 0.05, 0.15, 0, 0.015),</v>
      </c>
    </row>
    <row r="149" spans="1:42" x14ac:dyDescent="0.2">
      <c r="A149" s="4" t="s">
        <v>181</v>
      </c>
      <c r="B149" s="4">
        <v>0.02</v>
      </c>
      <c r="C149" s="4">
        <v>2.8000000000000001E-2</v>
      </c>
      <c r="D149" s="4">
        <v>1.7</v>
      </c>
      <c r="E149" s="4">
        <v>1.9</v>
      </c>
      <c r="F149" s="4">
        <v>1E-3</v>
      </c>
      <c r="G149" s="4">
        <v>5.0000000000000001E-3</v>
      </c>
      <c r="H149" s="4">
        <v>5.0000000000000001E-3</v>
      </c>
      <c r="I149" s="4">
        <v>0.04</v>
      </c>
      <c r="J149" s="4">
        <v>0.2</v>
      </c>
      <c r="K149" s="4">
        <v>0.4</v>
      </c>
      <c r="L149" s="4">
        <v>6.5</v>
      </c>
      <c r="M149" s="4">
        <v>6.55</v>
      </c>
      <c r="N149" s="4">
        <v>17</v>
      </c>
      <c r="O149" s="4">
        <v>17.2</v>
      </c>
      <c r="P149" s="4">
        <v>0.01</v>
      </c>
      <c r="Q149" s="4">
        <v>0.38</v>
      </c>
      <c r="R149" s="4">
        <v>0.01</v>
      </c>
      <c r="S149" s="4">
        <v>0.14000000000000001</v>
      </c>
      <c r="T149" s="4">
        <v>2E-3</v>
      </c>
      <c r="U149" s="4">
        <v>2E-3</v>
      </c>
      <c r="V149" s="4">
        <v>0</v>
      </c>
      <c r="W149" s="4">
        <v>0.06</v>
      </c>
      <c r="X149" s="4">
        <v>0</v>
      </c>
      <c r="Y149" s="4">
        <v>0</v>
      </c>
      <c r="Z149" s="4">
        <v>0.13</v>
      </c>
      <c r="AA149" s="4">
        <v>0.15</v>
      </c>
      <c r="AB149" s="4">
        <v>5.0000000000000001E-3</v>
      </c>
      <c r="AC149" s="4">
        <v>8.9999999999999993E-3</v>
      </c>
      <c r="AD149" s="4">
        <v>4.0000000000000001E-3</v>
      </c>
      <c r="AE149" s="4">
        <v>8.0000000000000002E-3</v>
      </c>
      <c r="AF149" s="4">
        <v>3.0000000000000001E-3</v>
      </c>
      <c r="AG149" s="4">
        <v>8.9999999999999993E-3</v>
      </c>
      <c r="AH149" s="4">
        <v>5.0000000000000001E-4</v>
      </c>
      <c r="AI149" s="4">
        <v>8.0000000000000004E-4</v>
      </c>
      <c r="AJ149" s="4">
        <v>1E-3</v>
      </c>
      <c r="AK149" s="4">
        <v>1.5E-3</v>
      </c>
      <c r="AL149" s="4">
        <v>0.16</v>
      </c>
      <c r="AM149" s="4">
        <v>0.41</v>
      </c>
      <c r="AN149" s="4">
        <v>0</v>
      </c>
      <c r="AO149" s="4">
        <v>7.0000000000000001E-3</v>
      </c>
      <c r="AP149" t="str">
        <f t="shared" si="2"/>
        <v>('301L-LT', 0.02, 0.028, 1.7, 1.9, 0.001, 0.005, 0.005, 0.04, 0.2, 0.4, 6.5, 6.55, 17, 17.2, 0.01, 0.38, 0.01, 0.14, 0.002, 0.002, 0, 0.06, 0, 0, 0.13, 0.15, 0.005, 0.009, 0.004, 0.008, 0.003, 0.009, 0.0005, 0.0008, 0.001, 0.0015, 0.16, 0.41, 0, 0.007),</v>
      </c>
    </row>
    <row r="150" spans="1:42" x14ac:dyDescent="0.2">
      <c r="A150" s="3" t="s">
        <v>182</v>
      </c>
      <c r="B150" s="3">
        <v>1.4999999999999999E-2</v>
      </c>
      <c r="C150" s="3">
        <v>2.5000000000000001E-2</v>
      </c>
      <c r="D150" s="3">
        <v>4.8</v>
      </c>
      <c r="E150" s="3">
        <v>5</v>
      </c>
      <c r="F150" s="3">
        <v>1E-3</v>
      </c>
      <c r="G150" s="3">
        <v>1E-3</v>
      </c>
      <c r="H150" s="3">
        <v>1.0999999999999999E-2</v>
      </c>
      <c r="I150" s="3">
        <v>0.03</v>
      </c>
      <c r="J150" s="3">
        <v>0.39</v>
      </c>
      <c r="K150" s="3">
        <v>0.65</v>
      </c>
      <c r="L150" s="3">
        <v>1.55</v>
      </c>
      <c r="M150" s="3">
        <v>1.65</v>
      </c>
      <c r="N150" s="3">
        <v>21.2</v>
      </c>
      <c r="O150" s="3">
        <v>21.5</v>
      </c>
      <c r="P150" s="3">
        <v>0.12</v>
      </c>
      <c r="Q150" s="3">
        <v>0.25</v>
      </c>
      <c r="R150" s="3">
        <v>0.2</v>
      </c>
      <c r="S150" s="3">
        <v>0.3</v>
      </c>
      <c r="T150" s="3">
        <v>1E-3</v>
      </c>
      <c r="U150" s="3">
        <v>4.0000000000000001E-3</v>
      </c>
      <c r="V150" s="3">
        <v>3.5000000000000003E-2</v>
      </c>
      <c r="W150" s="3">
        <v>6.5000000000000002E-2</v>
      </c>
      <c r="X150" s="3">
        <v>0</v>
      </c>
      <c r="Y150" s="3">
        <v>0</v>
      </c>
      <c r="Z150" s="3">
        <v>0.20200000000000001</v>
      </c>
      <c r="AA150" s="3">
        <v>0.217</v>
      </c>
      <c r="AB150" s="3">
        <v>0</v>
      </c>
      <c r="AC150" s="3">
        <v>0</v>
      </c>
      <c r="AD150" s="3">
        <v>1.5E-3</v>
      </c>
      <c r="AE150" s="3">
        <v>4.1000000000000003E-3</v>
      </c>
      <c r="AF150" s="3">
        <v>1.4999999999999999E-2</v>
      </c>
      <c r="AG150" s="3">
        <v>3.5000000000000003E-2</v>
      </c>
      <c r="AH150" s="3">
        <v>0</v>
      </c>
      <c r="AI150" s="3">
        <v>0</v>
      </c>
      <c r="AJ150" s="3">
        <v>1.5E-3</v>
      </c>
      <c r="AK150" s="3">
        <v>3.5000000000000001E-3</v>
      </c>
      <c r="AL150" s="3">
        <v>0</v>
      </c>
      <c r="AM150" s="3">
        <v>0</v>
      </c>
      <c r="AN150" s="3">
        <v>3.0000000000000001E-3</v>
      </c>
      <c r="AO150" s="3">
        <v>8.9999999999999993E-3</v>
      </c>
      <c r="AP150" t="str">
        <f t="shared" si="2"/>
        <v>('UNS S32101', 0.015, 0.025, 4.8, 5, 0.001, 0.001, 0.011, 0.03, 0.39, 0.65, 1.55, 1.65, 21.2, 21.5, 0.12, 0.25, 0.2, 0.3, 0.001, 0.004, 0.035, 0.065, 0, 0, 0.202, 0.217, 0, 0, 0.0015, 0.0041, 0.015, 0.035, 0, 0, 0.0015, 0.0035, 0, 0, 0.003, 0.009),</v>
      </c>
    </row>
    <row r="151" spans="1:42" x14ac:dyDescent="0.2">
      <c r="A151" s="4" t="s">
        <v>183</v>
      </c>
      <c r="B151" s="4">
        <v>0</v>
      </c>
      <c r="C151" s="4">
        <v>0</v>
      </c>
      <c r="D151" s="4">
        <v>0</v>
      </c>
      <c r="E151" s="4">
        <v>0</v>
      </c>
      <c r="F151" s="4">
        <v>0</v>
      </c>
      <c r="G151" s="4">
        <v>0</v>
      </c>
      <c r="H151" s="4">
        <v>0</v>
      </c>
      <c r="I151" s="4">
        <v>0</v>
      </c>
      <c r="J151" s="4">
        <v>0</v>
      </c>
      <c r="K151" s="4">
        <v>0</v>
      </c>
      <c r="L151" s="4">
        <v>0</v>
      </c>
      <c r="M151" s="4">
        <v>0</v>
      </c>
      <c r="N151" s="4">
        <v>0</v>
      </c>
      <c r="O151" s="4">
        <v>0</v>
      </c>
      <c r="P151" s="4">
        <v>0</v>
      </c>
      <c r="Q151" s="4">
        <v>0</v>
      </c>
      <c r="R151" s="4">
        <v>0</v>
      </c>
      <c r="S151" s="4">
        <v>0</v>
      </c>
      <c r="T151" s="4">
        <v>0</v>
      </c>
      <c r="U151" s="4">
        <v>0</v>
      </c>
      <c r="V151" s="4">
        <v>0</v>
      </c>
      <c r="W151" s="4">
        <v>0</v>
      </c>
      <c r="X151" s="4">
        <v>0</v>
      </c>
      <c r="Y151" s="4">
        <v>0</v>
      </c>
      <c r="Z151" s="4">
        <v>0</v>
      </c>
      <c r="AA151" s="4">
        <v>0</v>
      </c>
      <c r="AB151" s="4">
        <v>0</v>
      </c>
      <c r="AC151" s="4">
        <v>0</v>
      </c>
      <c r="AD151" s="4">
        <v>0</v>
      </c>
      <c r="AE151" s="4">
        <v>0</v>
      </c>
      <c r="AF151" s="4">
        <v>0</v>
      </c>
      <c r="AG151" s="4">
        <v>0</v>
      </c>
      <c r="AH151" s="4">
        <v>0</v>
      </c>
      <c r="AI151" s="4">
        <v>0</v>
      </c>
      <c r="AJ151" s="4">
        <v>0</v>
      </c>
      <c r="AK151" s="4">
        <v>0</v>
      </c>
      <c r="AL151" s="4">
        <v>0</v>
      </c>
      <c r="AM151" s="4">
        <v>0</v>
      </c>
      <c r="AN151" s="4">
        <v>0</v>
      </c>
      <c r="AO151" s="4">
        <v>0</v>
      </c>
      <c r="AP151" t="str">
        <f t="shared" si="2"/>
        <v>('UNS S40975', 0, 0, 0, 0, 0, 0, 0, 0, 0, 0, 0, 0, 0, 0, 0, 0, 0, 0, 0, 0, 0, 0, 0, 0, 0, 0, 0, 0, 0, 0, 0, 0, 0, 0, 0, 0, 0, 0, 0, 0),</v>
      </c>
    </row>
    <row r="152" spans="1:42" x14ac:dyDescent="0.2">
      <c r="A152" s="3">
        <v>316</v>
      </c>
      <c r="B152" s="3">
        <v>0.03</v>
      </c>
      <c r="C152" s="3">
        <v>0.05</v>
      </c>
      <c r="D152" s="3">
        <v>0.8</v>
      </c>
      <c r="E152" s="3">
        <v>1</v>
      </c>
      <c r="F152" s="3">
        <v>2E-3</v>
      </c>
      <c r="G152" s="3">
        <v>5.0000000000000001E-3</v>
      </c>
      <c r="H152" s="3">
        <v>2.1999999999999999E-2</v>
      </c>
      <c r="I152" s="3">
        <v>4.3999999999999997E-2</v>
      </c>
      <c r="J152" s="3">
        <v>0.35</v>
      </c>
      <c r="K152" s="3">
        <v>0.55000000000000004</v>
      </c>
      <c r="L152" s="3">
        <v>10.02</v>
      </c>
      <c r="M152" s="3">
        <v>10.08</v>
      </c>
      <c r="N152" s="3">
        <v>16.149999999999999</v>
      </c>
      <c r="O152" s="3">
        <v>16.55</v>
      </c>
      <c r="P152" s="3">
        <v>0.31</v>
      </c>
      <c r="Q152" s="3">
        <v>0.7</v>
      </c>
      <c r="R152" s="3">
        <v>2.0299999999999998</v>
      </c>
      <c r="S152" s="3">
        <v>0.08</v>
      </c>
      <c r="T152" s="3">
        <v>2E-3</v>
      </c>
      <c r="U152" s="3">
        <v>3.0000000000000001E-3</v>
      </c>
      <c r="V152" s="3">
        <v>0</v>
      </c>
      <c r="W152" s="3">
        <v>8.7999999999999995E-2</v>
      </c>
      <c r="X152" s="3">
        <v>0</v>
      </c>
      <c r="Y152" s="3">
        <v>0</v>
      </c>
      <c r="Z152" s="3">
        <v>0.03</v>
      </c>
      <c r="AA152" s="3">
        <v>5.8799999999999998E-2</v>
      </c>
      <c r="AB152" s="3">
        <v>5.4999999999999997E-3</v>
      </c>
      <c r="AC152" s="3">
        <v>7.0000000000000001E-3</v>
      </c>
      <c r="AD152" s="3">
        <v>7.0000000000000001E-3</v>
      </c>
      <c r="AE152" s="3">
        <v>8.0000000000000002E-3</v>
      </c>
      <c r="AF152" s="3">
        <v>5.8999999999999999E-3</v>
      </c>
      <c r="AG152" s="3">
        <v>6.1999999999999998E-3</v>
      </c>
      <c r="AH152" s="3">
        <v>6.9999999999999999E-4</v>
      </c>
      <c r="AI152" s="3">
        <v>8.9999999999999998E-4</v>
      </c>
      <c r="AJ152" s="3">
        <v>3.3E-3</v>
      </c>
      <c r="AK152" s="3">
        <v>3.3999999999999998E-3</v>
      </c>
      <c r="AL152" s="3">
        <v>0.15</v>
      </c>
      <c r="AM152" s="3">
        <v>0.23</v>
      </c>
      <c r="AN152" s="3">
        <v>0</v>
      </c>
      <c r="AO152" s="3">
        <v>1.2E-2</v>
      </c>
      <c r="AP152" t="str">
        <f t="shared" si="2"/>
        <v>('316', 0.03, 0.05, 0.8, 1, 0.002, 0.005, 0.022, 0.044, 0.35, 0.55, 10.02, 10.08, 16.15, 16.55, 0.31, 0.7, 2.03, 0.08, 0.002, 0.003, 0, 0.088, 0, 0, 0.03, 0.0588, 0.0055, 0.007, 0.007, 0.008, 0.0059, 0.0062, 0.0007, 0.0009, 0.0033, 0.0034, 0.15, 0.23, 0, 0.012),</v>
      </c>
    </row>
    <row r="153" spans="1:42" x14ac:dyDescent="0.2">
      <c r="A153" s="4" t="s">
        <v>184</v>
      </c>
      <c r="B153" s="4">
        <v>0</v>
      </c>
      <c r="C153" s="4">
        <v>0</v>
      </c>
      <c r="D153" s="4">
        <v>0</v>
      </c>
      <c r="E153" s="4">
        <v>0</v>
      </c>
      <c r="F153" s="4">
        <v>0</v>
      </c>
      <c r="G153" s="4">
        <v>0</v>
      </c>
      <c r="H153" s="4">
        <v>0</v>
      </c>
      <c r="I153" s="4">
        <v>0</v>
      </c>
      <c r="J153" s="4">
        <v>0</v>
      </c>
      <c r="K153" s="4">
        <v>0</v>
      </c>
      <c r="L153" s="4">
        <v>0</v>
      </c>
      <c r="M153" s="4">
        <v>0</v>
      </c>
      <c r="N153" s="4">
        <v>0</v>
      </c>
      <c r="O153" s="4">
        <v>0</v>
      </c>
      <c r="P153" s="4">
        <v>0</v>
      </c>
      <c r="Q153" s="4">
        <v>0</v>
      </c>
      <c r="R153" s="4">
        <v>0</v>
      </c>
      <c r="S153" s="4">
        <v>0</v>
      </c>
      <c r="T153" s="4">
        <v>0</v>
      </c>
      <c r="U153" s="4">
        <v>0</v>
      </c>
      <c r="V153" s="4">
        <v>0</v>
      </c>
      <c r="W153" s="4">
        <v>0</v>
      </c>
      <c r="X153" s="4">
        <v>0</v>
      </c>
      <c r="Y153" s="4">
        <v>0</v>
      </c>
      <c r="Z153" s="4">
        <v>0</v>
      </c>
      <c r="AA153" s="4">
        <v>0</v>
      </c>
      <c r="AB153" s="4">
        <v>0</v>
      </c>
      <c r="AC153" s="4">
        <v>0</v>
      </c>
      <c r="AD153" s="4">
        <v>0</v>
      </c>
      <c r="AE153" s="4">
        <v>0</v>
      </c>
      <c r="AF153" s="4">
        <v>0</v>
      </c>
      <c r="AG153" s="4">
        <v>0</v>
      </c>
      <c r="AH153" s="4">
        <v>0</v>
      </c>
      <c r="AI153" s="4">
        <v>0</v>
      </c>
      <c r="AJ153" s="4">
        <v>0</v>
      </c>
      <c r="AK153" s="4">
        <v>0</v>
      </c>
      <c r="AL153" s="4">
        <v>0</v>
      </c>
      <c r="AM153" s="4">
        <v>0</v>
      </c>
      <c r="AN153" s="4">
        <v>0</v>
      </c>
      <c r="AO153" s="4">
        <v>0</v>
      </c>
      <c r="AP153" t="str">
        <f t="shared" si="2"/>
        <v>('430TI', 0, 0, 0, 0, 0, 0, 0, 0, 0, 0, 0, 0, 0, 0, 0, 0, 0, 0, 0, 0, 0, 0, 0, 0, 0, 0, 0, 0, 0, 0, 0, 0, 0, 0, 0, 0, 0, 0, 0, 0),</v>
      </c>
    </row>
    <row r="154" spans="1:42" x14ac:dyDescent="0.2">
      <c r="A154" s="3" t="s">
        <v>185</v>
      </c>
      <c r="B154" s="3">
        <v>5.5E-2</v>
      </c>
      <c r="C154" s="3">
        <v>6.4000000000000001E-2</v>
      </c>
      <c r="D154" s="3">
        <v>0.87</v>
      </c>
      <c r="E154" s="3">
        <v>1.05</v>
      </c>
      <c r="F154" s="3">
        <v>1E-3</v>
      </c>
      <c r="G154" s="3">
        <v>5.0000000000000001E-3</v>
      </c>
      <c r="H154" s="3">
        <v>3.5999999999999997E-2</v>
      </c>
      <c r="I154" s="3">
        <v>4.1000000000000002E-2</v>
      </c>
      <c r="J154" s="3">
        <v>0.24</v>
      </c>
      <c r="K154" s="3">
        <v>0.35</v>
      </c>
      <c r="L154" s="3">
        <v>8.02</v>
      </c>
      <c r="M154" s="3">
        <v>8.06</v>
      </c>
      <c r="N154" s="3">
        <v>18.079999999999998</v>
      </c>
      <c r="O154" s="3">
        <v>18.32</v>
      </c>
      <c r="P154" s="3">
        <v>0.1</v>
      </c>
      <c r="Q154" s="3">
        <v>0.55000000000000004</v>
      </c>
      <c r="R154" s="3">
        <v>0.02</v>
      </c>
      <c r="S154" s="3">
        <v>0.36</v>
      </c>
      <c r="T154" s="3">
        <v>2E-3</v>
      </c>
      <c r="U154" s="3">
        <v>3.0000000000000001E-3</v>
      </c>
      <c r="V154" s="3">
        <v>0</v>
      </c>
      <c r="W154" s="3">
        <v>7.2999999999999995E-2</v>
      </c>
      <c r="X154" s="3">
        <v>0</v>
      </c>
      <c r="Y154" s="3">
        <v>7</v>
      </c>
      <c r="Z154" s="3">
        <v>4.2999999999999997E-2</v>
      </c>
      <c r="AA154" s="3">
        <v>5.5E-2</v>
      </c>
      <c r="AB154" s="3">
        <v>4.0000000000000001E-3</v>
      </c>
      <c r="AC154" s="3">
        <v>5.7999999999999996E-3</v>
      </c>
      <c r="AD154" s="3">
        <v>6.6E-3</v>
      </c>
      <c r="AE154" s="3">
        <v>1.9599999999999999E-2</v>
      </c>
      <c r="AF154" s="3">
        <v>2E-3</v>
      </c>
      <c r="AG154" s="3">
        <v>6.4999999999999997E-3</v>
      </c>
      <c r="AH154" s="3">
        <v>2.9999999999999997E-4</v>
      </c>
      <c r="AI154" s="3">
        <v>1.5E-3</v>
      </c>
      <c r="AJ154" s="3">
        <v>4.0000000000000002E-4</v>
      </c>
      <c r="AK154" s="3">
        <v>1.5E-3</v>
      </c>
      <c r="AL154" s="3">
        <v>0.18</v>
      </c>
      <c r="AM154" s="3">
        <v>0.31</v>
      </c>
      <c r="AN154" s="3">
        <v>0</v>
      </c>
      <c r="AO154" s="3">
        <v>0.01</v>
      </c>
      <c r="AP154" t="str">
        <f t="shared" si="2"/>
        <v>('SUS304', 0.055, 0.064, 0.87, 1.05, 0.001, 0.005, 0.036, 0.041, 0.24, 0.35, 8.02, 8.06, 18.08, 18.32, 0.1, 0.55, 0.02, 0.36, 0.002, 0.003, 0, 0.073, 0, 7, 0.043, 0.055, 0.004, 0.0058, 0.0066, 0.0196, 0.002, 0.0065, 0.0003, 0.0015, 0.0004, 0.0015, 0.18, 0.31, 0, 0.01),</v>
      </c>
    </row>
    <row r="155" spans="1:42" x14ac:dyDescent="0.2">
      <c r="A155" s="4" t="s">
        <v>186</v>
      </c>
      <c r="B155" s="4">
        <v>4.9000000000000002E-2</v>
      </c>
      <c r="C155" s="4">
        <v>6.2E-2</v>
      </c>
      <c r="D155" s="4">
        <v>0.3</v>
      </c>
      <c r="E155" s="4">
        <v>0.6</v>
      </c>
      <c r="F155" s="4">
        <v>1E-3</v>
      </c>
      <c r="G155" s="4">
        <v>8.0000000000000002E-3</v>
      </c>
      <c r="H155" s="4">
        <v>0.01</v>
      </c>
      <c r="I155" s="4">
        <v>4.1000000000000002E-2</v>
      </c>
      <c r="J155" s="4">
        <v>0.2</v>
      </c>
      <c r="K155" s="4">
        <v>0.3</v>
      </c>
      <c r="L155" s="4">
        <v>0.1</v>
      </c>
      <c r="M155" s="4">
        <v>0.3</v>
      </c>
      <c r="N155" s="4">
        <v>16</v>
      </c>
      <c r="O155" s="4">
        <v>16.399999999999999</v>
      </c>
      <c r="P155" s="4">
        <v>0.02</v>
      </c>
      <c r="Q155" s="4">
        <v>0.2</v>
      </c>
      <c r="R155" s="4">
        <v>0.01</v>
      </c>
      <c r="S155" s="4">
        <v>0.03</v>
      </c>
      <c r="T155" s="4">
        <v>0.02</v>
      </c>
      <c r="U155" s="4">
        <v>0.08</v>
      </c>
      <c r="V155" s="4">
        <v>0.01</v>
      </c>
      <c r="W155" s="4">
        <v>0.08</v>
      </c>
      <c r="X155" s="4">
        <v>0</v>
      </c>
      <c r="Y155" s="4">
        <v>0</v>
      </c>
      <c r="Z155" s="4">
        <v>2.8000000000000001E-2</v>
      </c>
      <c r="AA155" s="4">
        <v>3.5000000000000003E-2</v>
      </c>
      <c r="AB155" s="4">
        <v>2E-3</v>
      </c>
      <c r="AC155" s="4">
        <v>8.0000000000000002E-3</v>
      </c>
      <c r="AD155" s="4">
        <v>3.0999999999999999E-3</v>
      </c>
      <c r="AE155" s="4">
        <v>6.1999999999999998E-3</v>
      </c>
      <c r="AF155" s="4">
        <v>0.02</v>
      </c>
      <c r="AG155" s="4">
        <v>0.08</v>
      </c>
      <c r="AH155" s="4">
        <v>1E-4</v>
      </c>
      <c r="AI155" s="4">
        <v>1.5E-3</v>
      </c>
      <c r="AJ155" s="4">
        <v>2.0000000000000001E-4</v>
      </c>
      <c r="AK155" s="4">
        <v>4.0000000000000002E-4</v>
      </c>
      <c r="AL155" s="4">
        <v>0.05</v>
      </c>
      <c r="AM155" s="4">
        <v>0.06</v>
      </c>
      <c r="AN155" s="4">
        <v>1E-3</v>
      </c>
      <c r="AO155" s="4">
        <v>8.0000000000000002E-3</v>
      </c>
      <c r="AP155" t="str">
        <f t="shared" si="2"/>
        <v>('430HF', 0.049, 0.062, 0.3, 0.6, 0.001, 0.008, 0.01, 0.041, 0.2, 0.3, 0.1, 0.3, 16, 16.4, 0.02, 0.2, 0.01, 0.03, 0.02, 0.08, 0.01, 0.08, 0, 0, 0.028, 0.035, 0.002, 0.008, 0.0031, 0.0062, 0.02, 0.08, 0.0001, 0.0015, 0.0002, 0.0004, 0.05, 0.06, 0.001, 0.008),</v>
      </c>
    </row>
    <row r="156" spans="1:42" x14ac:dyDescent="0.2">
      <c r="A156" s="3" t="s">
        <v>187</v>
      </c>
      <c r="B156" s="3">
        <v>0.02</v>
      </c>
      <c r="C156" s="3">
        <v>2.1999999999999999E-2</v>
      </c>
      <c r="D156" s="3">
        <v>1.25</v>
      </c>
      <c r="E156" s="3">
        <v>1.32</v>
      </c>
      <c r="F156" s="3">
        <v>4.0000000000000001E-3</v>
      </c>
      <c r="G156" s="3">
        <v>5.0000000000000001E-3</v>
      </c>
      <c r="H156" s="3">
        <v>2.7E-2</v>
      </c>
      <c r="I156" s="3">
        <v>0.03</v>
      </c>
      <c r="J156" s="3">
        <v>0.52</v>
      </c>
      <c r="K156" s="3">
        <v>0.56999999999999995</v>
      </c>
      <c r="L156" s="3">
        <v>0.47</v>
      </c>
      <c r="M156" s="3">
        <v>0.71</v>
      </c>
      <c r="N156" s="3">
        <v>11</v>
      </c>
      <c r="O156" s="3">
        <v>11.3</v>
      </c>
      <c r="P156" s="3">
        <v>0.05</v>
      </c>
      <c r="Q156" s="3">
        <v>0.09</v>
      </c>
      <c r="R156" s="3">
        <v>0.1</v>
      </c>
      <c r="S156" s="3">
        <v>0.28000000000000003</v>
      </c>
      <c r="T156" s="3">
        <v>1E-3</v>
      </c>
      <c r="U156" s="3">
        <v>3.0000000000000001E-3</v>
      </c>
      <c r="V156" s="3">
        <v>0</v>
      </c>
      <c r="W156" s="3">
        <v>2.5999999999999999E-2</v>
      </c>
      <c r="X156" s="3">
        <v>0</v>
      </c>
      <c r="Y156" s="3">
        <v>4</v>
      </c>
      <c r="Z156" s="3">
        <v>2.1499999999999998E-2</v>
      </c>
      <c r="AA156" s="3">
        <v>2.69E-2</v>
      </c>
      <c r="AB156" s="3">
        <v>3.5000000000000001E-3</v>
      </c>
      <c r="AC156" s="3">
        <v>5.0000000000000001E-3</v>
      </c>
      <c r="AD156" s="3">
        <v>3.2000000000000002E-3</v>
      </c>
      <c r="AE156" s="3">
        <v>6.4999999999999997E-3</v>
      </c>
      <c r="AF156" s="3">
        <v>2.0999999999999999E-3</v>
      </c>
      <c r="AG156" s="3">
        <v>7.0000000000000001E-3</v>
      </c>
      <c r="AH156" s="3">
        <v>2.9999999999999997E-4</v>
      </c>
      <c r="AI156" s="3">
        <v>1E-3</v>
      </c>
      <c r="AJ156" s="3">
        <v>2.9999999999999997E-4</v>
      </c>
      <c r="AK156" s="3">
        <v>5.0000000000000001E-4</v>
      </c>
      <c r="AL156" s="3">
        <v>0.02</v>
      </c>
      <c r="AM156" s="3">
        <v>0.04</v>
      </c>
      <c r="AN156" s="3">
        <v>0</v>
      </c>
      <c r="AO156" s="3">
        <v>3.0000000000000001E-3</v>
      </c>
      <c r="AP156" t="str">
        <f t="shared" si="2"/>
        <v>('IRS 350CR', 0.02, 0.022, 1.25, 1.32, 0.004, 0.005, 0.027, 0.03, 0.52, 0.57, 0.47, 0.71, 11, 11.3, 0.05, 0.09, 0.1, 0.28, 0.001, 0.003, 0, 0.026, 0, 4, 0.0215, 0.0269, 0.0035, 0.005, 0.0032, 0.0065, 0.0021, 0.007, 0.0003, 0.001, 0.0003, 0.0005, 0.02, 0.04, 0, 0.003),</v>
      </c>
    </row>
    <row r="157" spans="1:42" x14ac:dyDescent="0.2">
      <c r="A157" s="4" t="s">
        <v>188</v>
      </c>
      <c r="B157" s="4">
        <v>2.1000000000000001E-2</v>
      </c>
      <c r="C157" s="4">
        <v>2.4E-2</v>
      </c>
      <c r="D157" s="4">
        <v>1.2</v>
      </c>
      <c r="E157" s="4">
        <v>1.42</v>
      </c>
      <c r="F157" s="4">
        <v>2E-3</v>
      </c>
      <c r="G157" s="4">
        <v>5.0000000000000001E-3</v>
      </c>
      <c r="H157" s="4">
        <v>0.04</v>
      </c>
      <c r="I157" s="4">
        <v>4.3999999999999997E-2</v>
      </c>
      <c r="J157" s="4">
        <v>0.31</v>
      </c>
      <c r="K157" s="4">
        <v>0.45</v>
      </c>
      <c r="L157" s="4">
        <v>10.050000000000001</v>
      </c>
      <c r="M157" s="4">
        <v>10.07</v>
      </c>
      <c r="N157" s="4">
        <v>16.05</v>
      </c>
      <c r="O157" s="4">
        <v>16.25</v>
      </c>
      <c r="P157" s="4">
        <v>0.32</v>
      </c>
      <c r="Q157" s="4">
        <v>2.08</v>
      </c>
      <c r="R157" s="4">
        <v>2.0299999999999998</v>
      </c>
      <c r="S157" s="4">
        <v>2.08</v>
      </c>
      <c r="T157" s="4">
        <v>3.0000000000000001E-3</v>
      </c>
      <c r="U157" s="4">
        <v>3.0000000000000001E-3</v>
      </c>
      <c r="V157" s="4">
        <v>0</v>
      </c>
      <c r="W157" s="4">
        <v>8.2000000000000003E-2</v>
      </c>
      <c r="X157" s="4">
        <v>0</v>
      </c>
      <c r="Y157" s="4">
        <v>7</v>
      </c>
      <c r="Z157" s="4">
        <v>3.39E-2</v>
      </c>
      <c r="AA157" s="4">
        <v>3.6999999999999998E-2</v>
      </c>
      <c r="AB157" s="4">
        <v>5.3E-3</v>
      </c>
      <c r="AC157" s="4">
        <v>6.7000000000000002E-3</v>
      </c>
      <c r="AD157" s="4">
        <v>9.4999999999999998E-3</v>
      </c>
      <c r="AE157" s="4">
        <v>1.4500000000000001E-2</v>
      </c>
      <c r="AF157" s="4">
        <v>4.4999999999999997E-3</v>
      </c>
      <c r="AG157" s="4">
        <v>6.0000000000000001E-3</v>
      </c>
      <c r="AH157" s="4">
        <v>2.0000000000000001E-4</v>
      </c>
      <c r="AI157" s="4">
        <v>1E-3</v>
      </c>
      <c r="AJ157" s="4">
        <v>1.5E-3</v>
      </c>
      <c r="AK157" s="4">
        <v>1.9E-3</v>
      </c>
      <c r="AL157" s="4">
        <v>0.21</v>
      </c>
      <c r="AM157" s="4">
        <v>0.32</v>
      </c>
      <c r="AN157" s="4">
        <v>0</v>
      </c>
      <c r="AO157" s="4">
        <v>2.3E-2</v>
      </c>
      <c r="AP157" t="str">
        <f t="shared" si="2"/>
        <v>('316L PREN&gt;23', 0.021, 0.024, 1.2, 1.42, 0.002, 0.005, 0.04, 0.044, 0.31, 0.45, 10.05, 10.07, 16.05, 16.25, 0.32, 2.08, 2.03, 2.08, 0.003, 0.003, 0, 0.082, 0, 7, 0.0339, 0.037, 0.0053, 0.0067, 0.0095, 0.0145, 0.0045, 0.006, 0.0002, 0.001, 0.0015, 0.0019, 0.21, 0.32, 0, 0.023),</v>
      </c>
    </row>
    <row r="158" spans="1:42" x14ac:dyDescent="0.2">
      <c r="A158" s="3" t="s">
        <v>189</v>
      </c>
      <c r="B158" s="3">
        <v>1.7999999999999999E-2</v>
      </c>
      <c r="C158" s="3">
        <v>1.9E-2</v>
      </c>
      <c r="D158" s="3">
        <v>0.43</v>
      </c>
      <c r="E158" s="3">
        <v>0.48</v>
      </c>
      <c r="F158" s="3">
        <v>2E-3</v>
      </c>
      <c r="G158" s="3">
        <v>2E-3</v>
      </c>
      <c r="H158" s="3">
        <v>2.9000000000000001E-2</v>
      </c>
      <c r="I158" s="3">
        <v>2.9000000000000001E-2</v>
      </c>
      <c r="J158" s="3">
        <v>0.27</v>
      </c>
      <c r="K158" s="3">
        <v>0.52</v>
      </c>
      <c r="L158" s="3">
        <v>0.15</v>
      </c>
      <c r="M158" s="3">
        <v>0.25</v>
      </c>
      <c r="N158" s="3">
        <v>17.23</v>
      </c>
      <c r="O158" s="3">
        <v>17.47</v>
      </c>
      <c r="P158" s="3">
        <v>0.02</v>
      </c>
      <c r="Q158" s="3">
        <v>0.04</v>
      </c>
      <c r="R158" s="3">
        <v>0.02</v>
      </c>
      <c r="S158" s="3">
        <v>0.04</v>
      </c>
      <c r="T158" s="3">
        <v>0.35</v>
      </c>
      <c r="U158" s="3">
        <v>0.36</v>
      </c>
      <c r="V158" s="3">
        <v>3.7999999999999999E-2</v>
      </c>
      <c r="W158" s="3">
        <v>0.04</v>
      </c>
      <c r="X158" s="3">
        <v>0</v>
      </c>
      <c r="Y158" s="3">
        <v>4</v>
      </c>
      <c r="Z158" s="3">
        <v>1.14E-2</v>
      </c>
      <c r="AA158" s="3">
        <v>1.8599999999999998E-2</v>
      </c>
      <c r="AB158" s="3">
        <v>3.5000000000000001E-3</v>
      </c>
      <c r="AC158" s="3">
        <v>6.0000000000000001E-3</v>
      </c>
      <c r="AD158" s="3">
        <v>4.1999999999999997E-3</v>
      </c>
      <c r="AE158" s="3">
        <v>4.3E-3</v>
      </c>
      <c r="AF158" s="3">
        <v>2.5999999999999999E-2</v>
      </c>
      <c r="AG158" s="3">
        <v>2.7900000000000001E-2</v>
      </c>
      <c r="AH158" s="3">
        <v>5.9999999999999995E-4</v>
      </c>
      <c r="AI158" s="3">
        <v>1E-3</v>
      </c>
      <c r="AJ158" s="3">
        <v>2.0000000000000001E-4</v>
      </c>
      <c r="AK158" s="3">
        <v>5.0000000000000001E-4</v>
      </c>
      <c r="AL158" s="3">
        <v>0.04</v>
      </c>
      <c r="AM158" s="3">
        <v>0.04</v>
      </c>
      <c r="AN158" s="3">
        <v>6.0000000000000001E-3</v>
      </c>
      <c r="AO158" s="3">
        <v>0.16</v>
      </c>
      <c r="AP158" t="str">
        <f t="shared" si="2"/>
        <v>('439 RAT', 0.018, 0.019, 0.43, 0.48, 0.002, 0.002, 0.029, 0.029, 0.27, 0.52, 0.15, 0.25, 17.23, 17.47, 0.02, 0.04, 0.02, 0.04, 0.35, 0.36, 0.038, 0.04, 0, 4, 0.0114, 0.0186, 0.0035, 0.006, 0.0042, 0.0043, 0.026, 0.0279, 0.0006, 0.001, 0.0002, 0.0005, 0.04, 0.04, 0.006, 0.16),</v>
      </c>
    </row>
    <row r="159" spans="1:42" x14ac:dyDescent="0.2">
      <c r="A159" s="4" t="s">
        <v>190</v>
      </c>
      <c r="B159" s="4">
        <v>5.6000000000000001E-2</v>
      </c>
      <c r="C159" s="4">
        <v>0.06</v>
      </c>
      <c r="D159" s="4">
        <v>0.33</v>
      </c>
      <c r="E159" s="4">
        <v>0.35</v>
      </c>
      <c r="F159" s="4">
        <v>3.0000000000000001E-3</v>
      </c>
      <c r="G159" s="4">
        <v>4.0000000000000001E-3</v>
      </c>
      <c r="H159" s="4">
        <v>0.03</v>
      </c>
      <c r="I159" s="4">
        <v>3.1E-2</v>
      </c>
      <c r="J159" s="4">
        <v>0.23</v>
      </c>
      <c r="K159" s="4">
        <v>0.36</v>
      </c>
      <c r="L159" s="4">
        <v>0.18</v>
      </c>
      <c r="M159" s="4">
        <v>0.19</v>
      </c>
      <c r="N159" s="4">
        <v>16.170000000000002</v>
      </c>
      <c r="O159" s="4">
        <v>16.32</v>
      </c>
      <c r="P159" s="4">
        <v>0.04</v>
      </c>
      <c r="Q159" s="4">
        <v>0.04</v>
      </c>
      <c r="R159" s="4">
        <v>0.02</v>
      </c>
      <c r="S159" s="4">
        <v>0.02</v>
      </c>
      <c r="T159" s="4">
        <v>2E-3</v>
      </c>
      <c r="U159" s="4">
        <v>3.0000000000000001E-3</v>
      </c>
      <c r="V159" s="4">
        <v>3.6999999999999998E-2</v>
      </c>
      <c r="W159" s="4">
        <v>3.6999999999999998E-2</v>
      </c>
      <c r="X159" s="4">
        <v>0</v>
      </c>
      <c r="Y159" s="4">
        <v>0</v>
      </c>
      <c r="Z159" s="4">
        <v>3.3000000000000002E-2</v>
      </c>
      <c r="AA159" s="4">
        <v>3.5000000000000003E-2</v>
      </c>
      <c r="AB159" s="4">
        <v>3.3E-3</v>
      </c>
      <c r="AC159" s="4">
        <v>3.5999999999999999E-3</v>
      </c>
      <c r="AD159" s="4">
        <v>3.7000000000000002E-3</v>
      </c>
      <c r="AE159" s="4">
        <v>3.8E-3</v>
      </c>
      <c r="AF159" s="4">
        <v>2.3E-2</v>
      </c>
      <c r="AG159" s="4">
        <v>4.3999999999999997E-2</v>
      </c>
      <c r="AH159" s="4">
        <v>8.0000000000000004E-4</v>
      </c>
      <c r="AI159" s="4">
        <v>8.9999999999999998E-4</v>
      </c>
      <c r="AJ159" s="4">
        <v>2.9999999999999997E-4</v>
      </c>
      <c r="AK159" s="4">
        <v>2.9999999999999997E-4</v>
      </c>
      <c r="AL159" s="4">
        <v>0.05</v>
      </c>
      <c r="AM159" s="4">
        <v>0.05</v>
      </c>
      <c r="AN159" s="4">
        <v>3.0000000000000001E-3</v>
      </c>
      <c r="AO159" s="4">
        <v>3.0000000000000001E-3</v>
      </c>
      <c r="AP159" t="str">
        <f t="shared" si="2"/>
        <v>('SUS430', 0.056, 0.06, 0.33, 0.35, 0.003, 0.004, 0.03, 0.031, 0.23, 0.36, 0.18, 0.19, 16.17, 16.32, 0.04, 0.04, 0.02, 0.02, 0.002, 0.003, 0.037, 0.037, 0, 0, 0.033, 0.035, 0.0033, 0.0036, 0.0037, 0.0038, 0.023, 0.044, 0.0008, 0.0009, 0.0003, 0.0003, 0.05, 0.05, 0.003, 0.003),</v>
      </c>
    </row>
    <row r="160" spans="1:42" x14ac:dyDescent="0.2">
      <c r="A160" s="3" t="s">
        <v>191</v>
      </c>
      <c r="B160" s="3">
        <v>0.11</v>
      </c>
      <c r="C160" s="3">
        <v>0.13</v>
      </c>
      <c r="D160" s="3">
        <v>9.75</v>
      </c>
      <c r="E160" s="3">
        <v>10.14</v>
      </c>
      <c r="F160" s="3">
        <v>0</v>
      </c>
      <c r="G160" s="3">
        <v>0.01</v>
      </c>
      <c r="H160" s="3">
        <v>0.05</v>
      </c>
      <c r="I160" s="3">
        <v>0.1</v>
      </c>
      <c r="J160" s="3">
        <v>0.3</v>
      </c>
      <c r="K160" s="3">
        <v>0.5</v>
      </c>
      <c r="L160" s="3">
        <v>0.8</v>
      </c>
      <c r="M160" s="3">
        <v>0.9</v>
      </c>
      <c r="N160" s="3">
        <v>14.2</v>
      </c>
      <c r="O160" s="3">
        <v>14.8</v>
      </c>
      <c r="P160" s="3">
        <v>0.6</v>
      </c>
      <c r="Q160" s="3">
        <v>0.8</v>
      </c>
      <c r="R160" s="3">
        <v>0.03</v>
      </c>
      <c r="S160" s="3">
        <v>0.16</v>
      </c>
      <c r="T160" s="3">
        <v>0</v>
      </c>
      <c r="U160" s="3">
        <v>0.01</v>
      </c>
      <c r="V160" s="3">
        <v>0</v>
      </c>
      <c r="W160" s="3">
        <v>0.08</v>
      </c>
      <c r="X160" s="3">
        <v>0</v>
      </c>
      <c r="Y160" s="3">
        <v>7.9</v>
      </c>
      <c r="Z160" s="3">
        <v>0.13300000000000001</v>
      </c>
      <c r="AA160" s="3">
        <v>0.17249999999999999</v>
      </c>
      <c r="AB160" s="3">
        <v>2E-3</v>
      </c>
      <c r="AC160" s="3">
        <v>8.0000000000000002E-3</v>
      </c>
      <c r="AD160" s="3">
        <v>3.0000000000000001E-3</v>
      </c>
      <c r="AE160" s="3">
        <v>1.9E-2</v>
      </c>
      <c r="AF160" s="3">
        <v>1E-3</v>
      </c>
      <c r="AG160" s="3">
        <v>8.0000000000000002E-3</v>
      </c>
      <c r="AH160" s="3">
        <v>2.0000000000000001E-4</v>
      </c>
      <c r="AI160" s="3">
        <v>1E-3</v>
      </c>
      <c r="AJ160" s="3">
        <v>1E-3</v>
      </c>
      <c r="AK160" s="3">
        <v>3.0000000000000001E-3</v>
      </c>
      <c r="AL160" s="3">
        <v>0.04</v>
      </c>
      <c r="AM160" s="3">
        <v>7.0000000000000007E-2</v>
      </c>
      <c r="AN160" s="3">
        <v>0</v>
      </c>
      <c r="AO160" s="3">
        <v>0.04</v>
      </c>
      <c r="AP160" t="str">
        <f t="shared" si="2"/>
        <v>('JT-2BT', 0.11, 0.13, 9.75, 10.14, 0, 0.01, 0.05, 0.1, 0.3, 0.5, 0.8, 0.9, 14.2, 14.8, 0.6, 0.8, 0.03, 0.16, 0, 0.01, 0, 0.08, 0, 7.9, 0.133, 0.1725, 0.002, 0.008, 0.003, 0.019, 0.001, 0.008, 0.0002, 0.001, 0.001, 0.003, 0.04, 0.07, 0, 0.04),</v>
      </c>
    </row>
    <row r="161" spans="1:42" x14ac:dyDescent="0.2">
      <c r="A161" s="4" t="s">
        <v>192</v>
      </c>
      <c r="B161" s="4">
        <v>0.09</v>
      </c>
      <c r="C161" s="4">
        <v>0.1</v>
      </c>
      <c r="D161" s="4">
        <v>8.8000000000000007</v>
      </c>
      <c r="E161" s="4">
        <v>9.1999999999999993</v>
      </c>
      <c r="F161" s="4">
        <v>0</v>
      </c>
      <c r="G161" s="4">
        <v>0.01</v>
      </c>
      <c r="H161" s="4">
        <v>0.05</v>
      </c>
      <c r="I161" s="4">
        <v>0.08</v>
      </c>
      <c r="J161" s="4">
        <v>0.3</v>
      </c>
      <c r="K161" s="4">
        <v>0.5</v>
      </c>
      <c r="L161" s="4">
        <v>1</v>
      </c>
      <c r="M161" s="4">
        <v>1.1000000000000001</v>
      </c>
      <c r="N161" s="4">
        <v>15</v>
      </c>
      <c r="O161" s="4">
        <v>15.4</v>
      </c>
      <c r="P161" s="4">
        <v>1.6</v>
      </c>
      <c r="Q161" s="4">
        <v>1.7</v>
      </c>
      <c r="R161" s="4">
        <v>0.03</v>
      </c>
      <c r="S161" s="4">
        <v>0.1</v>
      </c>
      <c r="T161" s="4">
        <v>1E-3</v>
      </c>
      <c r="U161" s="4">
        <v>7.0000000000000001E-3</v>
      </c>
      <c r="V161" s="4">
        <v>0</v>
      </c>
      <c r="W161" s="4">
        <v>0.08</v>
      </c>
      <c r="X161" s="4">
        <v>0</v>
      </c>
      <c r="Y161" s="4">
        <v>0</v>
      </c>
      <c r="Z161" s="4">
        <v>0.12</v>
      </c>
      <c r="AA161" s="4">
        <v>0.14499999999999999</v>
      </c>
      <c r="AB161" s="4">
        <v>3.0000000000000001E-3</v>
      </c>
      <c r="AC161" s="4">
        <v>8.0000000000000002E-3</v>
      </c>
      <c r="AD161" s="4">
        <v>4.0000000000000001E-3</v>
      </c>
      <c r="AE161" s="4">
        <v>1.6E-2</v>
      </c>
      <c r="AF161" s="4">
        <v>1E-3</v>
      </c>
      <c r="AG161" s="4">
        <v>8.9999999999999993E-3</v>
      </c>
      <c r="AH161" s="4">
        <v>2.9999999999999997E-4</v>
      </c>
      <c r="AI161" s="4">
        <v>1.6000000000000001E-3</v>
      </c>
      <c r="AJ161" s="4">
        <v>4.0000000000000002E-4</v>
      </c>
      <c r="AK161" s="4">
        <v>1.4E-3</v>
      </c>
      <c r="AL161" s="4">
        <v>0.05</v>
      </c>
      <c r="AM161" s="4">
        <v>7.0000000000000007E-2</v>
      </c>
      <c r="AN161" s="4">
        <v>0</v>
      </c>
      <c r="AO161" s="4">
        <v>1.6E-2</v>
      </c>
      <c r="AP161" t="str">
        <f t="shared" si="2"/>
        <v>('J4', 0.09, 0.1, 8.8, 9.2, 0, 0.01, 0.05, 0.08, 0.3, 0.5, 1, 1.1, 15, 15.4, 1.6, 1.7, 0.03, 0.1, 0.001, 0.007, 0, 0.08, 0, 0, 0.12, 0.145, 0.003, 0.008, 0.004, 0.016, 0.001, 0.009, 0.0003, 0.0016, 0.0004, 0.0014, 0.05, 0.07, 0, 0.016),</v>
      </c>
    </row>
    <row r="162" spans="1:42" x14ac:dyDescent="0.2">
      <c r="A162" s="3" t="s">
        <v>6</v>
      </c>
      <c r="B162" s="3">
        <v>7.0000000000000001E-3</v>
      </c>
      <c r="C162" s="3">
        <v>2.9000000000000001E-2</v>
      </c>
      <c r="D162" s="3">
        <v>0.3</v>
      </c>
      <c r="E162" s="3">
        <v>1.45</v>
      </c>
      <c r="F162" s="3">
        <v>2E-3</v>
      </c>
      <c r="G162" s="3">
        <v>8.9999999999999993E-3</v>
      </c>
      <c r="H162" s="3">
        <v>2.8000000000000001E-2</v>
      </c>
      <c r="I162" s="3">
        <v>3.5999999999999997E-2</v>
      </c>
      <c r="J162" s="3">
        <v>0.46</v>
      </c>
      <c r="K162" s="3">
        <v>0.75</v>
      </c>
      <c r="L162" s="3">
        <v>0.11</v>
      </c>
      <c r="M162" s="3">
        <v>1.1000000000000001</v>
      </c>
      <c r="N162" s="3">
        <v>10.92</v>
      </c>
      <c r="O162" s="3">
        <v>11.5</v>
      </c>
      <c r="P162" s="3">
        <v>0.02</v>
      </c>
      <c r="Q162" s="3">
        <v>0.24</v>
      </c>
      <c r="R162" s="3">
        <v>0.01</v>
      </c>
      <c r="S162" s="3">
        <v>0.31</v>
      </c>
      <c r="T162" s="3">
        <v>1E-3</v>
      </c>
      <c r="U162" s="3">
        <v>0.25</v>
      </c>
      <c r="V162" s="3">
        <v>0</v>
      </c>
      <c r="W162" s="3">
        <v>5.3999999999999999E-2</v>
      </c>
      <c r="X162" s="3">
        <v>0</v>
      </c>
      <c r="Y162" s="3">
        <v>4.9000000000000004</v>
      </c>
      <c r="Z162" s="3">
        <v>7.0000000000000001E-3</v>
      </c>
      <c r="AA162" s="3">
        <v>3.7499999999999999E-2</v>
      </c>
      <c r="AB162" s="3">
        <v>1.5E-3</v>
      </c>
      <c r="AC162" s="3">
        <v>6.3E-3</v>
      </c>
      <c r="AD162" s="3">
        <v>1.6000000000000001E-3</v>
      </c>
      <c r="AE162" s="3">
        <v>2.2599999999999999E-2</v>
      </c>
      <c r="AF162" s="3">
        <v>1E-3</v>
      </c>
      <c r="AG162" s="3">
        <v>4.2799999999999998E-2</v>
      </c>
      <c r="AH162" s="3">
        <v>1E-4</v>
      </c>
      <c r="AI162" s="3">
        <v>1.5E-3</v>
      </c>
      <c r="AJ162" s="3">
        <v>2.0000000000000001E-4</v>
      </c>
      <c r="AK162" s="3">
        <v>8.9999999999999998E-4</v>
      </c>
      <c r="AL162" s="3">
        <v>0.02</v>
      </c>
      <c r="AM162" s="3">
        <v>0.12</v>
      </c>
      <c r="AN162" s="3">
        <v>0</v>
      </c>
      <c r="AO162" s="3">
        <v>0.06</v>
      </c>
      <c r="AP162" t="str">
        <f t="shared" si="2"/>
        <v>('IRS 450CR', 0.007, 0.029, 0.3, 1.45, 0.002, 0.009, 0.028, 0.036, 0.46, 0.75, 0.11, 1.1, 10.92, 11.5, 0.02, 0.24, 0.01, 0.31, 0.001, 0.25, 0, 0.054, 0, 4.9, 0.007, 0.0375, 0.0015, 0.0063, 0.0016, 0.0226, 0.001, 0.0428, 0.0001, 0.0015, 0.0002, 0.0009, 0.02, 0.12, 0, 0.06),</v>
      </c>
    </row>
    <row r="163" spans="1:42" x14ac:dyDescent="0.2">
      <c r="A163" s="4" t="s">
        <v>193</v>
      </c>
      <c r="B163" s="4">
        <v>0.11</v>
      </c>
      <c r="C163" s="4">
        <v>0.13</v>
      </c>
      <c r="D163" s="4">
        <v>9.3000000000000007</v>
      </c>
      <c r="E163" s="4">
        <v>10.14</v>
      </c>
      <c r="F163" s="4">
        <v>0</v>
      </c>
      <c r="G163" s="4">
        <v>0.01</v>
      </c>
      <c r="H163" s="4">
        <v>0.05</v>
      </c>
      <c r="I163" s="4">
        <v>0.1</v>
      </c>
      <c r="J163" s="4">
        <v>0.3</v>
      </c>
      <c r="K163" s="4">
        <v>0.5</v>
      </c>
      <c r="L163" s="4">
        <v>0.8</v>
      </c>
      <c r="M163" s="4">
        <v>1.1499999999999999</v>
      </c>
      <c r="N163" s="4">
        <v>14</v>
      </c>
      <c r="O163" s="4">
        <v>14.8</v>
      </c>
      <c r="P163" s="4">
        <v>0.52</v>
      </c>
      <c r="Q163" s="4">
        <v>0.8</v>
      </c>
      <c r="R163" s="4">
        <v>0.03</v>
      </c>
      <c r="S163" s="4">
        <v>0.16</v>
      </c>
      <c r="T163" s="4">
        <v>0</v>
      </c>
      <c r="U163" s="4">
        <v>0.01</v>
      </c>
      <c r="V163" s="4">
        <v>0</v>
      </c>
      <c r="W163" s="4">
        <v>0.08</v>
      </c>
      <c r="X163" s="4">
        <v>0</v>
      </c>
      <c r="Y163" s="4">
        <v>7.9</v>
      </c>
      <c r="Z163" s="4">
        <v>0.13300000000000001</v>
      </c>
      <c r="AA163" s="4">
        <v>0.17249999999999999</v>
      </c>
      <c r="AB163" s="4">
        <v>2E-3</v>
      </c>
      <c r="AC163" s="4">
        <v>8.0000000000000002E-3</v>
      </c>
      <c r="AD163" s="4">
        <v>3.0000000000000001E-3</v>
      </c>
      <c r="AE163" s="4">
        <v>1.9E-2</v>
      </c>
      <c r="AF163" s="4">
        <v>1E-3</v>
      </c>
      <c r="AG163" s="4">
        <v>8.0000000000000002E-3</v>
      </c>
      <c r="AH163" s="4">
        <v>2.0000000000000001E-4</v>
      </c>
      <c r="AI163" s="4">
        <v>1E-3</v>
      </c>
      <c r="AJ163" s="4">
        <v>1E-3</v>
      </c>
      <c r="AK163" s="4">
        <v>3.0000000000000001E-3</v>
      </c>
      <c r="AL163" s="4">
        <v>0.04</v>
      </c>
      <c r="AM163" s="4">
        <v>0.09</v>
      </c>
      <c r="AN163" s="4">
        <v>0</v>
      </c>
      <c r="AO163" s="4">
        <v>0.04</v>
      </c>
      <c r="AP163" t="str">
        <f t="shared" si="2"/>
        <v>('JT-SPL', 0.11, 0.13, 9.3, 10.14, 0, 0.01, 0.05, 0.1, 0.3, 0.5, 0.8, 1.15, 14, 14.8, 0.52, 0.8, 0.03, 0.16, 0, 0.01, 0, 0.08, 0, 7.9, 0.133, 0.1725, 0.002, 0.008, 0.003, 0.019, 0.001, 0.008, 0.0002, 0.001, 0.001, 0.003, 0.04, 0.09, 0, 0.04),</v>
      </c>
    </row>
    <row r="164" spans="1:42" x14ac:dyDescent="0.2">
      <c r="A164" s="3" t="s">
        <v>194</v>
      </c>
      <c r="B164" s="3">
        <v>2E-3</v>
      </c>
      <c r="C164" s="3">
        <v>0.01</v>
      </c>
      <c r="D164" s="3">
        <v>0.2</v>
      </c>
      <c r="E164" s="3">
        <v>0.5</v>
      </c>
      <c r="F164" s="3">
        <v>1E-3</v>
      </c>
      <c r="G164" s="3">
        <v>5.0000000000000001E-3</v>
      </c>
      <c r="H164" s="3">
        <v>1.0999999999999999E-2</v>
      </c>
      <c r="I164" s="3">
        <v>4.1000000000000002E-2</v>
      </c>
      <c r="J164" s="3">
        <v>0.28999999999999998</v>
      </c>
      <c r="K164" s="3">
        <v>0.5</v>
      </c>
      <c r="L164" s="3">
        <v>7.0000000000000007E-2</v>
      </c>
      <c r="M164" s="3">
        <v>0.21</v>
      </c>
      <c r="N164" s="3">
        <v>19</v>
      </c>
      <c r="O164" s="3">
        <v>19.809999999999999</v>
      </c>
      <c r="P164" s="3">
        <v>0.35</v>
      </c>
      <c r="Q164" s="3">
        <v>0.47</v>
      </c>
      <c r="R164" s="3">
        <v>8.0000000000000002E-3</v>
      </c>
      <c r="S164" s="3">
        <v>2.1000000000000001E-2</v>
      </c>
      <c r="T164" s="3">
        <v>1E-3</v>
      </c>
      <c r="U164" s="3">
        <v>6.0000000000000001E-3</v>
      </c>
      <c r="V164" s="3">
        <v>0.01</v>
      </c>
      <c r="W164" s="3">
        <v>6.0999999999999999E-2</v>
      </c>
      <c r="X164" s="3">
        <v>0</v>
      </c>
      <c r="Y164" s="3">
        <v>4</v>
      </c>
      <c r="Z164" s="3">
        <v>1.1000000000000001E-3</v>
      </c>
      <c r="AA164" s="3">
        <v>1.5100000000000001E-2</v>
      </c>
      <c r="AB164" s="3">
        <v>3.5000000000000001E-3</v>
      </c>
      <c r="AC164" s="3">
        <v>6.4000000000000003E-3</v>
      </c>
      <c r="AD164" s="3">
        <v>3.0000000000000001E-3</v>
      </c>
      <c r="AE164" s="3">
        <v>8.8000000000000005E-3</v>
      </c>
      <c r="AF164" s="3">
        <v>1E-3</v>
      </c>
      <c r="AG164" s="3">
        <v>1.0999999999999999E-2</v>
      </c>
      <c r="AH164" s="3">
        <v>5.0000000000000001E-4</v>
      </c>
      <c r="AI164" s="3">
        <v>3.0000000000000001E-3</v>
      </c>
      <c r="AJ164" s="3">
        <v>1E-4</v>
      </c>
      <c r="AK164" s="3">
        <v>8.9999999999999998E-4</v>
      </c>
      <c r="AL164" s="3">
        <v>0.02</v>
      </c>
      <c r="AM164" s="3">
        <v>6.5000000000000002E-2</v>
      </c>
      <c r="AN164" s="3">
        <v>0.4</v>
      </c>
      <c r="AO164" s="3">
        <v>0.62</v>
      </c>
      <c r="AP164" t="str">
        <f t="shared" si="2"/>
        <v>('430J1L', 0.002, 0.01, 0.2, 0.5, 0.001, 0.005, 0.011, 0.041, 0.29, 0.5, 0.07, 0.21, 19, 19.81, 0.35, 0.47, 0.008, 0.021, 0.001, 0.006, 0.01, 0.061, 0, 4, 0.0011, 0.0151, 0.0035, 0.0064, 0.003, 0.0088, 0.001, 0.011, 0.0005, 0.003, 0.0001, 0.0009, 0.02, 0.065, 0.4, 0.62),</v>
      </c>
    </row>
    <row r="165" spans="1:42" x14ac:dyDescent="0.2">
      <c r="A165" s="4">
        <v>410</v>
      </c>
      <c r="B165" s="4">
        <v>0</v>
      </c>
      <c r="C165" s="4">
        <v>0</v>
      </c>
      <c r="D165" s="4">
        <v>0</v>
      </c>
      <c r="E165" s="4">
        <v>0</v>
      </c>
      <c r="F165" s="4">
        <v>0</v>
      </c>
      <c r="G165" s="4">
        <v>0</v>
      </c>
      <c r="H165" s="4">
        <v>0</v>
      </c>
      <c r="I165" s="4">
        <v>0</v>
      </c>
      <c r="J165" s="4">
        <v>0</v>
      </c>
      <c r="K165" s="4">
        <v>0</v>
      </c>
      <c r="L165" s="4">
        <v>0</v>
      </c>
      <c r="M165" s="4">
        <v>0</v>
      </c>
      <c r="N165" s="4">
        <v>0</v>
      </c>
      <c r="O165" s="4">
        <v>0</v>
      </c>
      <c r="P165" s="4">
        <v>0</v>
      </c>
      <c r="Q165" s="4">
        <v>0</v>
      </c>
      <c r="R165" s="4">
        <v>0</v>
      </c>
      <c r="S165" s="4">
        <v>0</v>
      </c>
      <c r="T165" s="4">
        <v>0</v>
      </c>
      <c r="U165" s="4">
        <v>0</v>
      </c>
      <c r="V165" s="4">
        <v>0</v>
      </c>
      <c r="W165" s="4">
        <v>0</v>
      </c>
      <c r="X165" s="4">
        <v>0</v>
      </c>
      <c r="Y165" s="4">
        <v>0</v>
      </c>
      <c r="Z165" s="4">
        <v>0</v>
      </c>
      <c r="AA165" s="4">
        <v>0</v>
      </c>
      <c r="AB165" s="4">
        <v>0</v>
      </c>
      <c r="AC165" s="4">
        <v>0</v>
      </c>
      <c r="AD165" s="4">
        <v>0</v>
      </c>
      <c r="AE165" s="4">
        <v>0</v>
      </c>
      <c r="AF165" s="4">
        <v>0</v>
      </c>
      <c r="AG165" s="4">
        <v>0</v>
      </c>
      <c r="AH165" s="4">
        <v>0</v>
      </c>
      <c r="AI165" s="4">
        <v>0</v>
      </c>
      <c r="AJ165" s="4">
        <v>0</v>
      </c>
      <c r="AK165" s="4">
        <v>0</v>
      </c>
      <c r="AL165" s="4">
        <v>0</v>
      </c>
      <c r="AM165" s="4">
        <v>0</v>
      </c>
      <c r="AN165" s="4">
        <v>0</v>
      </c>
      <c r="AO165" s="4">
        <v>0</v>
      </c>
      <c r="AP165" t="str">
        <f t="shared" si="2"/>
        <v>('410', 0, 0, 0, 0, 0, 0, 0, 0, 0, 0, 0, 0, 0, 0, 0, 0, 0, 0, 0, 0, 0, 0, 0, 0, 0, 0, 0, 0, 0, 0, 0, 0, 0, 0, 0, 0, 0, 0, 0, 0),</v>
      </c>
    </row>
    <row r="166" spans="1:42" x14ac:dyDescent="0.2">
      <c r="A166" s="3" t="s">
        <v>195</v>
      </c>
      <c r="B166" s="3">
        <v>4.4999999999999998E-2</v>
      </c>
      <c r="C166" s="3">
        <v>7.1999999999999995E-2</v>
      </c>
      <c r="D166" s="3">
        <v>1.4</v>
      </c>
      <c r="E166" s="3">
        <v>1.6</v>
      </c>
      <c r="F166" s="3">
        <v>2E-3</v>
      </c>
      <c r="G166" s="3">
        <v>0.01</v>
      </c>
      <c r="H166" s="3">
        <v>2.8000000000000001E-2</v>
      </c>
      <c r="I166" s="3">
        <v>3.7999999999999999E-2</v>
      </c>
      <c r="J166" s="3">
        <v>0.3</v>
      </c>
      <c r="K166" s="3">
        <v>0.48</v>
      </c>
      <c r="L166" s="3">
        <v>0.1</v>
      </c>
      <c r="M166" s="3">
        <v>0.21</v>
      </c>
      <c r="N166" s="3">
        <v>12.6</v>
      </c>
      <c r="O166" s="3">
        <v>13</v>
      </c>
      <c r="P166" s="3">
        <v>0.02</v>
      </c>
      <c r="Q166" s="3">
        <v>0.12</v>
      </c>
      <c r="R166" s="3">
        <v>0.01</v>
      </c>
      <c r="S166" s="3">
        <v>0.03</v>
      </c>
      <c r="T166" s="3">
        <v>1E-3</v>
      </c>
      <c r="U166" s="3">
        <v>6.0000000000000001E-3</v>
      </c>
      <c r="V166" s="3">
        <v>2.1999999999999999E-2</v>
      </c>
      <c r="W166" s="3">
        <v>0.04</v>
      </c>
      <c r="X166" s="3">
        <v>0</v>
      </c>
      <c r="Y166" s="3">
        <v>4</v>
      </c>
      <c r="Z166" s="3">
        <v>7.1000000000000004E-3</v>
      </c>
      <c r="AA166" s="3">
        <v>0.02</v>
      </c>
      <c r="AB166" s="3">
        <v>2.3E-3</v>
      </c>
      <c r="AC166" s="3">
        <v>5.4999999999999997E-3</v>
      </c>
      <c r="AD166" s="3">
        <v>1.5E-3</v>
      </c>
      <c r="AE166" s="3">
        <v>1.06E-2</v>
      </c>
      <c r="AF166" s="3">
        <v>1.2999999999999999E-3</v>
      </c>
      <c r="AG166" s="3">
        <v>9.1999999999999998E-3</v>
      </c>
      <c r="AH166" s="3">
        <v>2.9999999999999997E-4</v>
      </c>
      <c r="AI166" s="3">
        <v>1.6999999999999999E-3</v>
      </c>
      <c r="AJ166" s="3">
        <v>2.9999999999999997E-4</v>
      </c>
      <c r="AK166" s="3">
        <v>8.9999999999999998E-4</v>
      </c>
      <c r="AL166" s="3">
        <v>0.03</v>
      </c>
      <c r="AM166" s="3">
        <v>0.05</v>
      </c>
      <c r="AN166" s="3">
        <v>1E-3</v>
      </c>
      <c r="AO166" s="3">
        <v>7.0000000000000001E-3</v>
      </c>
      <c r="AP166" t="str">
        <f t="shared" si="2"/>
        <v>('410DB', 0.045, 0.072, 1.4, 1.6, 0.002, 0.01, 0.028, 0.038, 0.3, 0.48, 0.1, 0.21, 12.6, 13, 0.02, 0.12, 0.01, 0.03, 0.001, 0.006, 0.022, 0.04, 0, 4, 0.0071, 0.02, 0.0023, 0.0055, 0.0015, 0.0106, 0.0013, 0.0092, 0.0003, 0.0017, 0.0003, 0.0009, 0.03, 0.05, 0.001, 0.007),</v>
      </c>
    </row>
    <row r="167" spans="1:42" x14ac:dyDescent="0.2">
      <c r="A167" s="4" t="s">
        <v>196</v>
      </c>
      <c r="B167" s="4">
        <v>0</v>
      </c>
      <c r="C167" s="4">
        <v>0</v>
      </c>
      <c r="D167" s="4">
        <v>0</v>
      </c>
      <c r="E167" s="4">
        <v>0</v>
      </c>
      <c r="F167" s="4">
        <v>0</v>
      </c>
      <c r="G167" s="4">
        <v>0</v>
      </c>
      <c r="H167" s="4">
        <v>0</v>
      </c>
      <c r="I167" s="4">
        <v>0</v>
      </c>
      <c r="J167" s="4">
        <v>0</v>
      </c>
      <c r="K167" s="4">
        <v>0</v>
      </c>
      <c r="L167" s="4">
        <v>0</v>
      </c>
      <c r="M167" s="4">
        <v>0</v>
      </c>
      <c r="N167" s="4">
        <v>0</v>
      </c>
      <c r="O167" s="4">
        <v>0</v>
      </c>
      <c r="P167" s="4">
        <v>0</v>
      </c>
      <c r="Q167" s="4">
        <v>0</v>
      </c>
      <c r="R167" s="4">
        <v>0</v>
      </c>
      <c r="S167" s="4">
        <v>0</v>
      </c>
      <c r="T167" s="4">
        <v>0</v>
      </c>
      <c r="U167" s="4">
        <v>0</v>
      </c>
      <c r="V167" s="4">
        <v>0</v>
      </c>
      <c r="W167" s="4">
        <v>0</v>
      </c>
      <c r="X167" s="4">
        <v>0</v>
      </c>
      <c r="Y167" s="4">
        <v>0</v>
      </c>
      <c r="Z167" s="4">
        <v>0</v>
      </c>
      <c r="AA167" s="4">
        <v>0</v>
      </c>
      <c r="AB167" s="4">
        <v>0</v>
      </c>
      <c r="AC167" s="4">
        <v>0</v>
      </c>
      <c r="AD167" s="4">
        <v>0</v>
      </c>
      <c r="AE167" s="4">
        <v>0</v>
      </c>
      <c r="AF167" s="4">
        <v>0</v>
      </c>
      <c r="AG167" s="4">
        <v>0</v>
      </c>
      <c r="AH167" s="4">
        <v>0</v>
      </c>
      <c r="AI167" s="4">
        <v>0</v>
      </c>
      <c r="AJ167" s="4">
        <v>0</v>
      </c>
      <c r="AK167" s="4">
        <v>0</v>
      </c>
      <c r="AL167" s="4">
        <v>0</v>
      </c>
      <c r="AM167" s="4">
        <v>0</v>
      </c>
      <c r="AN167" s="4">
        <v>0</v>
      </c>
      <c r="AO167" s="4">
        <v>0</v>
      </c>
      <c r="AP167" t="str">
        <f t="shared" si="2"/>
        <v>('EN10025-2 S355J2+N', 0, 0, 0, 0, 0, 0, 0, 0, 0, 0, 0, 0, 0, 0, 0, 0, 0, 0, 0, 0, 0, 0, 0, 0, 0, 0, 0, 0, 0, 0, 0, 0, 0, 0, 0, 0, 0, 0, 0, 0),</v>
      </c>
    </row>
    <row r="168" spans="1:42" x14ac:dyDescent="0.2">
      <c r="A168" s="3" t="s">
        <v>197</v>
      </c>
      <c r="B168" s="3">
        <v>4.4999999999999998E-2</v>
      </c>
      <c r="C168" s="3">
        <v>7.1999999999999995E-2</v>
      </c>
      <c r="D168" s="3">
        <v>1.4</v>
      </c>
      <c r="E168" s="3">
        <v>1.6</v>
      </c>
      <c r="F168" s="3">
        <v>2E-3</v>
      </c>
      <c r="G168" s="3">
        <v>0.01</v>
      </c>
      <c r="H168" s="3">
        <v>2.8000000000000001E-2</v>
      </c>
      <c r="I168" s="3">
        <v>3.7999999999999999E-2</v>
      </c>
      <c r="J168" s="3">
        <v>0.3</v>
      </c>
      <c r="K168" s="3">
        <v>0.48</v>
      </c>
      <c r="L168" s="3">
        <v>0.1</v>
      </c>
      <c r="M168" s="3">
        <v>0.21</v>
      </c>
      <c r="N168" s="3">
        <v>12.6</v>
      </c>
      <c r="O168" s="3">
        <v>12.9</v>
      </c>
      <c r="P168" s="3">
        <v>0.02</v>
      </c>
      <c r="Q168" s="3">
        <v>0.12</v>
      </c>
      <c r="R168" s="3">
        <v>0.01</v>
      </c>
      <c r="S168" s="3">
        <v>0.03</v>
      </c>
      <c r="T168" s="3">
        <v>1E-3</v>
      </c>
      <c r="U168" s="3">
        <v>6.0000000000000001E-3</v>
      </c>
      <c r="V168" s="3">
        <v>2.1999999999999999E-2</v>
      </c>
      <c r="W168" s="3">
        <v>0.04</v>
      </c>
      <c r="X168" s="3">
        <v>0</v>
      </c>
      <c r="Y168" s="3">
        <v>4</v>
      </c>
      <c r="Z168" s="3">
        <v>8.9999999999999993E-3</v>
      </c>
      <c r="AA168" s="3">
        <v>0.02</v>
      </c>
      <c r="AB168" s="3">
        <v>2.3E-3</v>
      </c>
      <c r="AC168" s="3">
        <v>5.4999999999999997E-3</v>
      </c>
      <c r="AD168" s="3">
        <v>1.5E-3</v>
      </c>
      <c r="AE168" s="3">
        <v>1.06E-2</v>
      </c>
      <c r="AF168" s="3">
        <v>1.2999999999999999E-3</v>
      </c>
      <c r="AG168" s="3">
        <v>9.1999999999999998E-3</v>
      </c>
      <c r="AH168" s="3">
        <v>2.9999999999999997E-4</v>
      </c>
      <c r="AI168" s="3">
        <v>1.6999999999999999E-3</v>
      </c>
      <c r="AJ168" s="3">
        <v>2.9999999999999997E-4</v>
      </c>
      <c r="AK168" s="3">
        <v>8.9999999999999998E-4</v>
      </c>
      <c r="AL168" s="3">
        <v>0.03</v>
      </c>
      <c r="AM168" s="3">
        <v>0.05</v>
      </c>
      <c r="AN168" s="3">
        <v>1E-3</v>
      </c>
      <c r="AO168" s="3">
        <v>7.0000000000000001E-3</v>
      </c>
      <c r="AP168" t="str">
        <f t="shared" si="2"/>
        <v>('410HC', 0.045, 0.072, 1.4, 1.6, 0.002, 0.01, 0.028, 0.038, 0.3, 0.48, 0.1, 0.21, 12.6, 12.9, 0.02, 0.12, 0.01, 0.03, 0.001, 0.006, 0.022, 0.04, 0, 4, 0.009, 0.02, 0.0023, 0.0055, 0.0015, 0.0106, 0.0013, 0.0092, 0.0003, 0.0017, 0.0003, 0.0009, 0.03, 0.05, 0.001, 0.007),</v>
      </c>
    </row>
    <row r="169" spans="1:42" x14ac:dyDescent="0.2">
      <c r="A169" s="4" t="s">
        <v>198</v>
      </c>
      <c r="B169" s="4">
        <v>1.9E-2</v>
      </c>
      <c r="C169" s="4">
        <v>5.7000000000000002E-2</v>
      </c>
      <c r="D169" s="4">
        <v>1.18</v>
      </c>
      <c r="E169" s="4">
        <v>1.5</v>
      </c>
      <c r="F169" s="4">
        <v>1E-3</v>
      </c>
      <c r="G169" s="4">
        <v>7.0000000000000001E-3</v>
      </c>
      <c r="H169" s="4">
        <v>2.7E-2</v>
      </c>
      <c r="I169" s="4">
        <v>4.3999999999999997E-2</v>
      </c>
      <c r="J169" s="4">
        <v>0.18</v>
      </c>
      <c r="K169" s="4">
        <v>0.52</v>
      </c>
      <c r="L169" s="4">
        <v>8.01</v>
      </c>
      <c r="M169" s="4">
        <v>8.1</v>
      </c>
      <c r="N169" s="4">
        <v>18.02</v>
      </c>
      <c r="O169" s="4">
        <v>18.48</v>
      </c>
      <c r="P169" s="4">
        <v>0.01</v>
      </c>
      <c r="Q169" s="4">
        <v>0.7</v>
      </c>
      <c r="R169" s="4">
        <v>0.01</v>
      </c>
      <c r="S169" s="4">
        <v>0.49</v>
      </c>
      <c r="T169" s="4">
        <v>1E-3</v>
      </c>
      <c r="U169" s="4">
        <v>5.0000000000000001E-3</v>
      </c>
      <c r="V169" s="4">
        <v>0</v>
      </c>
      <c r="W169" s="4">
        <v>0.13100000000000001</v>
      </c>
      <c r="X169" s="4">
        <v>0</v>
      </c>
      <c r="Y169" s="4">
        <v>7.4</v>
      </c>
      <c r="Z169" s="4">
        <v>4.7300000000000002E-2</v>
      </c>
      <c r="AA169" s="4">
        <v>8.2000000000000003E-2</v>
      </c>
      <c r="AB169" s="4">
        <v>1.5E-3</v>
      </c>
      <c r="AC169" s="4">
        <v>7.4999999999999997E-3</v>
      </c>
      <c r="AD169" s="4">
        <v>1E-3</v>
      </c>
      <c r="AE169" s="4">
        <v>2.4899999999999999E-2</v>
      </c>
      <c r="AF169" s="4">
        <v>1E-3</v>
      </c>
      <c r="AG169" s="4">
        <v>8.0000000000000002E-3</v>
      </c>
      <c r="AH169" s="4">
        <v>2.0000000000000001E-4</v>
      </c>
      <c r="AI169" s="4">
        <v>1.8E-3</v>
      </c>
      <c r="AJ169" s="4">
        <v>1E-4</v>
      </c>
      <c r="AK169" s="4">
        <v>2.8E-3</v>
      </c>
      <c r="AL169" s="4">
        <v>0.16</v>
      </c>
      <c r="AM169" s="4">
        <v>0.27</v>
      </c>
      <c r="AN169" s="4">
        <v>0</v>
      </c>
      <c r="AO169" s="4">
        <v>1.9E-2</v>
      </c>
      <c r="AP169" t="str">
        <f t="shared" si="2"/>
        <v>('304L', 0.019, 0.057, 1.18, 1.5, 0.001, 0.007, 0.027, 0.044, 0.18, 0.52, 8.01, 8.1, 18.02, 18.48, 0.01, 0.7, 0.01, 0.49, 0.001, 0.005, 0, 0.131, 0, 7.4, 0.0473, 0.082, 0.0015, 0.0075, 0.001, 0.0249, 0.001, 0.008, 0.0002, 0.0018, 0.0001, 0.0028, 0.16, 0.27, 0, 0.019),</v>
      </c>
    </row>
    <row r="170" spans="1:42" x14ac:dyDescent="0.2">
      <c r="A170" s="3" t="s">
        <v>199</v>
      </c>
      <c r="B170" s="3">
        <v>7.0000000000000001E-3</v>
      </c>
      <c r="C170" s="3">
        <v>2.9000000000000001E-2</v>
      </c>
      <c r="D170" s="3">
        <v>0.3</v>
      </c>
      <c r="E170" s="3">
        <v>1.45</v>
      </c>
      <c r="F170" s="3">
        <v>2E-3</v>
      </c>
      <c r="G170" s="3">
        <v>8.9999999999999993E-3</v>
      </c>
      <c r="H170" s="3">
        <v>2.8000000000000001E-2</v>
      </c>
      <c r="I170" s="3">
        <v>3.5999999999999997E-2</v>
      </c>
      <c r="J170" s="3">
        <v>0.46</v>
      </c>
      <c r="K170" s="3">
        <v>0.75</v>
      </c>
      <c r="L170" s="3">
        <v>7.0000000000000007E-2</v>
      </c>
      <c r="M170" s="3">
        <v>0.35</v>
      </c>
      <c r="N170" s="3">
        <v>10.92</v>
      </c>
      <c r="O170" s="3">
        <v>11.5</v>
      </c>
      <c r="P170" s="3">
        <v>0.02</v>
      </c>
      <c r="Q170" s="3">
        <v>0.24</v>
      </c>
      <c r="R170" s="3">
        <v>0.01</v>
      </c>
      <c r="S170" s="3">
        <v>0.08</v>
      </c>
      <c r="T170" s="3">
        <v>1E-3</v>
      </c>
      <c r="U170" s="3">
        <v>0.08</v>
      </c>
      <c r="V170" s="3">
        <v>0</v>
      </c>
      <c r="W170" s="3">
        <v>5.3999999999999999E-2</v>
      </c>
      <c r="X170" s="3">
        <v>0</v>
      </c>
      <c r="Y170" s="3">
        <v>4.9000000000000004</v>
      </c>
      <c r="Z170" s="3">
        <v>7.0000000000000001E-3</v>
      </c>
      <c r="AA170" s="3">
        <v>3.7499999999999999E-2</v>
      </c>
      <c r="AB170" s="3">
        <v>1.5E-3</v>
      </c>
      <c r="AC170" s="3">
        <v>6.3E-3</v>
      </c>
      <c r="AD170" s="3">
        <v>1.6000000000000001E-3</v>
      </c>
      <c r="AE170" s="3">
        <v>2.2599999999999999E-2</v>
      </c>
      <c r="AF170" s="3">
        <v>1E-3</v>
      </c>
      <c r="AG170" s="3">
        <v>4.2799999999999998E-2</v>
      </c>
      <c r="AH170" s="3">
        <v>1E-4</v>
      </c>
      <c r="AI170" s="3">
        <v>1.5E-3</v>
      </c>
      <c r="AJ170" s="3">
        <v>2.0000000000000001E-4</v>
      </c>
      <c r="AK170" s="3">
        <v>8.9999999999999998E-4</v>
      </c>
      <c r="AL170" s="3">
        <v>0.02</v>
      </c>
      <c r="AM170" s="3">
        <v>0.15</v>
      </c>
      <c r="AN170" s="3">
        <v>0</v>
      </c>
      <c r="AO170" s="3">
        <v>0.06</v>
      </c>
      <c r="AP170" t="str">
        <f t="shared" si="2"/>
        <v>('IRSM', 0.007, 0.029, 0.3, 1.45, 0.002, 0.009, 0.028, 0.036, 0.46, 0.75, 0.07, 0.35, 10.92, 11.5, 0.02, 0.24, 0.01, 0.08, 0.001, 0.08, 0, 0.054, 0, 4.9, 0.007, 0.0375, 0.0015, 0.0063, 0.0016, 0.0226, 0.001, 0.0428, 0.0001, 0.0015, 0.0002, 0.0009, 0.02, 0.15, 0, 0.06),</v>
      </c>
    </row>
    <row r="171" spans="1:42" x14ac:dyDescent="0.2">
      <c r="A171" s="4" t="s">
        <v>200</v>
      </c>
      <c r="B171" s="4">
        <v>7.4999999999999997E-2</v>
      </c>
      <c r="C171" s="4">
        <v>0.09</v>
      </c>
      <c r="D171" s="4">
        <v>7.23</v>
      </c>
      <c r="E171" s="4">
        <v>7.4</v>
      </c>
      <c r="F171" s="4">
        <v>2E-3</v>
      </c>
      <c r="G171" s="4">
        <v>8.0000000000000002E-3</v>
      </c>
      <c r="H171" s="4">
        <v>3.7999999999999999E-2</v>
      </c>
      <c r="I171" s="4">
        <v>4.3999999999999997E-2</v>
      </c>
      <c r="J171" s="4">
        <v>0.2</v>
      </c>
      <c r="K171" s="4">
        <v>0.36</v>
      </c>
      <c r="L171" s="4">
        <v>3.52</v>
      </c>
      <c r="M171" s="4">
        <v>3.58</v>
      </c>
      <c r="N171" s="4">
        <v>16.05</v>
      </c>
      <c r="O171" s="4">
        <v>16.3</v>
      </c>
      <c r="P171" s="4">
        <v>0.11</v>
      </c>
      <c r="Q171" s="4">
        <v>0.28000000000000003</v>
      </c>
      <c r="R171" s="4">
        <v>0.05</v>
      </c>
      <c r="S171" s="4">
        <v>0.08</v>
      </c>
      <c r="T171" s="4">
        <v>2E-3</v>
      </c>
      <c r="U171" s="4">
        <v>3.0000000000000001E-3</v>
      </c>
      <c r="V171" s="4">
        <v>0</v>
      </c>
      <c r="W171" s="4">
        <v>5.3999999999999999E-2</v>
      </c>
      <c r="X171" s="4">
        <v>0</v>
      </c>
      <c r="Y171" s="4">
        <v>7.5</v>
      </c>
      <c r="Z171" s="4">
        <v>0.13</v>
      </c>
      <c r="AA171" s="4">
        <v>0.154</v>
      </c>
      <c r="AB171" s="4">
        <v>3.3999999999999998E-3</v>
      </c>
      <c r="AC171" s="4">
        <v>6.0000000000000001E-3</v>
      </c>
      <c r="AD171" s="4">
        <v>4.1999999999999997E-3</v>
      </c>
      <c r="AE171" s="4">
        <v>0.01</v>
      </c>
      <c r="AF171" s="4">
        <v>2.5999999999999999E-3</v>
      </c>
      <c r="AG171" s="4">
        <v>5.1999999999999998E-3</v>
      </c>
      <c r="AH171" s="4">
        <v>4.0000000000000002E-4</v>
      </c>
      <c r="AI171" s="4">
        <v>1.8E-3</v>
      </c>
      <c r="AJ171" s="4">
        <v>5.9999999999999995E-4</v>
      </c>
      <c r="AK171" s="4">
        <v>1E-3</v>
      </c>
      <c r="AL171" s="4">
        <v>0.09</v>
      </c>
      <c r="AM171" s="4">
        <v>0.12</v>
      </c>
      <c r="AN171" s="4">
        <v>0</v>
      </c>
      <c r="AO171" s="4">
        <v>1.2E-2</v>
      </c>
      <c r="AP171" t="str">
        <f t="shared" si="2"/>
        <v>('EN1.4372', 0.075, 0.09, 7.23, 7.4, 0.002, 0.008, 0.038, 0.044, 0.2, 0.36, 3.52, 3.58, 16.05, 16.3, 0.11, 0.28, 0.05, 0.08, 0.002, 0.003, 0, 0.054, 0, 7.5, 0.13, 0.154, 0.0034, 0.006, 0.0042, 0.01, 0.0026, 0.0052, 0.0004, 0.0018, 0.0006, 0.001, 0.09, 0.12, 0, 0.012),</v>
      </c>
    </row>
    <row r="172" spans="1:42" x14ac:dyDescent="0.2">
      <c r="A172" s="3" t="s">
        <v>201</v>
      </c>
      <c r="B172" s="3">
        <v>8.9999999999999993E-3</v>
      </c>
      <c r="C172" s="3">
        <v>0.11899999999999999</v>
      </c>
      <c r="D172" s="3">
        <v>0.33</v>
      </c>
      <c r="E172" s="3">
        <v>1.9</v>
      </c>
      <c r="F172" s="3">
        <v>1E-3</v>
      </c>
      <c r="G172" s="3">
        <v>8.0000000000000002E-3</v>
      </c>
      <c r="H172" s="3">
        <v>2.1999999999999999E-2</v>
      </c>
      <c r="I172" s="3">
        <v>4.4999999999999998E-2</v>
      </c>
      <c r="J172" s="3">
        <v>0.18</v>
      </c>
      <c r="K172" s="3">
        <v>0.69</v>
      </c>
      <c r="L172" s="3">
        <v>6.31</v>
      </c>
      <c r="M172" s="3">
        <v>19.18</v>
      </c>
      <c r="N172" s="3">
        <v>16.03</v>
      </c>
      <c r="O172" s="3">
        <v>25.55</v>
      </c>
      <c r="P172" s="3">
        <v>0.01</v>
      </c>
      <c r="Q172" s="3">
        <v>0.7</v>
      </c>
      <c r="R172" s="3">
        <v>0.01</v>
      </c>
      <c r="S172" s="3">
        <v>2.15</v>
      </c>
      <c r="T172" s="3">
        <v>1E-3</v>
      </c>
      <c r="U172" s="3">
        <v>0.23</v>
      </c>
      <c r="V172" s="3">
        <v>7.1000000000000004E-3</v>
      </c>
      <c r="W172" s="3">
        <v>0.13100000000000001</v>
      </c>
      <c r="X172" s="3">
        <v>0</v>
      </c>
      <c r="Y172" s="3">
        <v>7.6</v>
      </c>
      <c r="Z172" s="3">
        <v>1.03E-2</v>
      </c>
      <c r="AA172" s="3">
        <v>0.14249999999999999</v>
      </c>
      <c r="AB172" s="3">
        <v>1.5E-3</v>
      </c>
      <c r="AC172" s="3">
        <v>8.0000000000000002E-3</v>
      </c>
      <c r="AD172" s="3">
        <v>1E-3</v>
      </c>
      <c r="AE172" s="3">
        <v>2.5000000000000001E-2</v>
      </c>
      <c r="AF172" s="3">
        <v>1E-3</v>
      </c>
      <c r="AG172" s="3">
        <v>6.5000000000000002E-2</v>
      </c>
      <c r="AH172" s="3">
        <v>2.0000000000000001E-4</v>
      </c>
      <c r="AI172" s="3">
        <v>3.5999999999999999E-3</v>
      </c>
      <c r="AJ172" s="3">
        <v>1E-4</v>
      </c>
      <c r="AK172" s="3">
        <v>4.1999999999999997E-3</v>
      </c>
      <c r="AL172" s="3">
        <v>0.15</v>
      </c>
      <c r="AM172" s="3">
        <v>0.42</v>
      </c>
      <c r="AN172" s="3">
        <v>1E-3</v>
      </c>
      <c r="AO172" s="3">
        <v>0.185</v>
      </c>
      <c r="AP172" t="str">
        <f t="shared" si="2"/>
        <v>('316LRAT', 0.009, 0.119, 0.33, 1.9, 0.001, 0.008, 0.022, 0.045, 0.18, 0.69, 6.31, 19.18, 16.03, 25.55, 0.01, 0.7, 0.01, 2.15, 0.001, 0.23, 0.0071, 0.131, 0, 7.6, 0.0103, 0.1425, 0.0015, 0.008, 0.001, 0.025, 0.001, 0.065, 0.0002, 0.0036, 0.0001, 0.0042, 0.15, 0.42, 0.001, 0.185),</v>
      </c>
    </row>
    <row r="173" spans="1:42" x14ac:dyDescent="0.2">
      <c r="A173" s="4" t="s">
        <v>202</v>
      </c>
      <c r="B173" s="4">
        <v>5.6000000000000001E-2</v>
      </c>
      <c r="C173" s="4">
        <v>0.06</v>
      </c>
      <c r="D173" s="4">
        <v>0.33</v>
      </c>
      <c r="E173" s="4">
        <v>0.35</v>
      </c>
      <c r="F173" s="4">
        <v>3.0000000000000001E-3</v>
      </c>
      <c r="G173" s="4">
        <v>4.0000000000000001E-3</v>
      </c>
      <c r="H173" s="4">
        <v>0.03</v>
      </c>
      <c r="I173" s="4">
        <v>3.1E-2</v>
      </c>
      <c r="J173" s="4">
        <v>0.23</v>
      </c>
      <c r="K173" s="4">
        <v>0.36</v>
      </c>
      <c r="L173" s="4">
        <v>0.18</v>
      </c>
      <c r="M173" s="4">
        <v>0.19</v>
      </c>
      <c r="N173" s="4">
        <v>16.170000000000002</v>
      </c>
      <c r="O173" s="4">
        <v>16.32</v>
      </c>
      <c r="P173" s="4">
        <v>0.04</v>
      </c>
      <c r="Q173" s="4">
        <v>0.04</v>
      </c>
      <c r="R173" s="4">
        <v>0.02</v>
      </c>
      <c r="S173" s="4">
        <v>0.02</v>
      </c>
      <c r="T173" s="4">
        <v>2E-3</v>
      </c>
      <c r="U173" s="4">
        <v>3.0000000000000001E-3</v>
      </c>
      <c r="V173" s="4">
        <v>3.6999999999999998E-2</v>
      </c>
      <c r="W173" s="4">
        <v>3.6999999999999998E-2</v>
      </c>
      <c r="X173" s="4">
        <v>0</v>
      </c>
      <c r="Y173" s="4">
        <v>0</v>
      </c>
      <c r="Z173" s="4">
        <v>3.3000000000000002E-2</v>
      </c>
      <c r="AA173" s="4">
        <v>3.5000000000000003E-2</v>
      </c>
      <c r="AB173" s="4">
        <v>3.3E-3</v>
      </c>
      <c r="AC173" s="4">
        <v>3.5999999999999999E-3</v>
      </c>
      <c r="AD173" s="4">
        <v>3.7000000000000002E-3</v>
      </c>
      <c r="AE173" s="4">
        <v>3.8E-3</v>
      </c>
      <c r="AF173" s="4">
        <v>2.3E-2</v>
      </c>
      <c r="AG173" s="4">
        <v>4.3999999999999997E-2</v>
      </c>
      <c r="AH173" s="4">
        <v>8.0000000000000004E-4</v>
      </c>
      <c r="AI173" s="4">
        <v>8.9999999999999998E-4</v>
      </c>
      <c r="AJ173" s="4">
        <v>2.9999999999999997E-4</v>
      </c>
      <c r="AK173" s="4">
        <v>2.9999999999999997E-4</v>
      </c>
      <c r="AL173" s="4">
        <v>0.05</v>
      </c>
      <c r="AM173" s="4">
        <v>0.05</v>
      </c>
      <c r="AN173" s="4">
        <v>3.0000000000000001E-3</v>
      </c>
      <c r="AO173" s="4">
        <v>3.0000000000000001E-3</v>
      </c>
      <c r="AP173" t="str">
        <f t="shared" si="2"/>
        <v>('SUS430-HR', 0.056, 0.06, 0.33, 0.35, 0.003, 0.004, 0.03, 0.031, 0.23, 0.36, 0.18, 0.19, 16.17, 16.32, 0.04, 0.04, 0.02, 0.02, 0.002, 0.003, 0.037, 0.037, 0, 0, 0.033, 0.035, 0.0033, 0.0036, 0.0037, 0.0038, 0.023, 0.044, 0.0008, 0.0009, 0.0003, 0.0003, 0.05, 0.05, 0.003, 0.003),</v>
      </c>
    </row>
    <row r="174" spans="1:42" x14ac:dyDescent="0.2">
      <c r="A174" s="3" t="s">
        <v>203</v>
      </c>
      <c r="B174" s="3">
        <v>3.1E-2</v>
      </c>
      <c r="C174" s="3">
        <v>6.3E-2</v>
      </c>
      <c r="D174" s="3">
        <v>0.2</v>
      </c>
      <c r="E174" s="3">
        <v>0.7</v>
      </c>
      <c r="F174" s="3">
        <v>1E-3</v>
      </c>
      <c r="G174" s="3">
        <v>8.0000000000000002E-3</v>
      </c>
      <c r="H174" s="3">
        <v>2.9000000000000001E-2</v>
      </c>
      <c r="I174" s="3">
        <v>0.04</v>
      </c>
      <c r="J174" s="3">
        <v>0.18</v>
      </c>
      <c r="K174" s="3">
        <v>0.39</v>
      </c>
      <c r="L174" s="3">
        <v>0.16</v>
      </c>
      <c r="M174" s="3">
        <v>0.34</v>
      </c>
      <c r="N174" s="3">
        <v>16.02</v>
      </c>
      <c r="O174" s="3">
        <v>16.38</v>
      </c>
      <c r="P174" s="3">
        <v>0.03</v>
      </c>
      <c r="Q174" s="3">
        <v>0.2</v>
      </c>
      <c r="R174" s="3">
        <v>0.01</v>
      </c>
      <c r="S174" s="3">
        <v>0.04</v>
      </c>
      <c r="T174" s="3">
        <v>1E-3</v>
      </c>
      <c r="U174" s="3">
        <v>0.01</v>
      </c>
      <c r="V174" s="3">
        <v>2.5000000000000001E-2</v>
      </c>
      <c r="W174" s="3">
        <v>4.2999999999999997E-2</v>
      </c>
      <c r="X174" s="3">
        <v>0</v>
      </c>
      <c r="Y174" s="3">
        <v>4.7</v>
      </c>
      <c r="Z174" s="3">
        <v>0.02</v>
      </c>
      <c r="AA174" s="3">
        <v>0.04</v>
      </c>
      <c r="AB174" s="3">
        <v>2.2000000000000001E-3</v>
      </c>
      <c r="AC174" s="3">
        <v>7.4999999999999997E-3</v>
      </c>
      <c r="AD174" s="3">
        <v>2E-3</v>
      </c>
      <c r="AE174" s="3">
        <v>9.4000000000000004E-3</v>
      </c>
      <c r="AF174" s="3">
        <v>1.77E-2</v>
      </c>
      <c r="AG174" s="3">
        <v>8.2000000000000003E-2</v>
      </c>
      <c r="AH174" s="3">
        <v>1E-4</v>
      </c>
      <c r="AI174" s="3">
        <v>2E-3</v>
      </c>
      <c r="AJ174" s="3">
        <v>1E-4</v>
      </c>
      <c r="AK174" s="3">
        <v>2.7000000000000001E-3</v>
      </c>
      <c r="AL174" s="3">
        <v>0.03</v>
      </c>
      <c r="AM174" s="3">
        <v>0.06</v>
      </c>
      <c r="AN174" s="3">
        <v>1E-3</v>
      </c>
      <c r="AO174" s="3">
        <v>8.0000000000000002E-3</v>
      </c>
      <c r="AP174" t="str">
        <f t="shared" si="2"/>
        <v>('430RF3', 0.031, 0.063, 0.2, 0.7, 0.001, 0.008, 0.029, 0.04, 0.18, 0.39, 0.16, 0.34, 16.02, 16.38, 0.03, 0.2, 0.01, 0.04, 0.001, 0.01, 0.025, 0.043, 0, 4.7, 0.02, 0.04, 0.0022, 0.0075, 0.002, 0.0094, 0.0177, 0.082, 0.0001, 0.002, 0.0001, 0.0027, 0.03, 0.06, 0.001, 0.008),</v>
      </c>
    </row>
    <row r="175" spans="1:42" x14ac:dyDescent="0.2">
      <c r="A175" s="4" t="s">
        <v>204</v>
      </c>
      <c r="B175" s="4">
        <v>8.9999999999999993E-3</v>
      </c>
      <c r="C175" s="4">
        <v>0.11899999999999999</v>
      </c>
      <c r="D175" s="4">
        <v>0.33</v>
      </c>
      <c r="E175" s="4">
        <v>1.9</v>
      </c>
      <c r="F175" s="4">
        <v>1E-3</v>
      </c>
      <c r="G175" s="4">
        <v>8.0000000000000002E-3</v>
      </c>
      <c r="H175" s="4">
        <v>2.1999999999999999E-2</v>
      </c>
      <c r="I175" s="4">
        <v>4.4999999999999998E-2</v>
      </c>
      <c r="J175" s="4">
        <v>0.18</v>
      </c>
      <c r="K175" s="4">
        <v>0.69</v>
      </c>
      <c r="L175" s="4">
        <v>6.31</v>
      </c>
      <c r="M175" s="4">
        <v>19.18</v>
      </c>
      <c r="N175" s="4">
        <v>16.03</v>
      </c>
      <c r="O175" s="4">
        <v>25.55</v>
      </c>
      <c r="P175" s="4">
        <v>0.01</v>
      </c>
      <c r="Q175" s="4">
        <v>0.7</v>
      </c>
      <c r="R175" s="4">
        <v>0.01</v>
      </c>
      <c r="S175" s="4">
        <v>2.15</v>
      </c>
      <c r="T175" s="4">
        <v>1E-3</v>
      </c>
      <c r="U175" s="4">
        <v>0.23</v>
      </c>
      <c r="V175" s="4">
        <v>7.1000000000000004E-3</v>
      </c>
      <c r="W175" s="4">
        <v>0.13100000000000001</v>
      </c>
      <c r="X175" s="4">
        <v>0</v>
      </c>
      <c r="Y175" s="4">
        <v>7.6</v>
      </c>
      <c r="Z175" s="4">
        <v>1.03E-2</v>
      </c>
      <c r="AA175" s="4">
        <v>0.14249999999999999</v>
      </c>
      <c r="AB175" s="4">
        <v>1.5E-3</v>
      </c>
      <c r="AC175" s="4">
        <v>8.0000000000000002E-3</v>
      </c>
      <c r="AD175" s="4">
        <v>1E-3</v>
      </c>
      <c r="AE175" s="4">
        <v>2.5000000000000001E-2</v>
      </c>
      <c r="AF175" s="4">
        <v>1E-3</v>
      </c>
      <c r="AG175" s="4">
        <v>6.5000000000000002E-2</v>
      </c>
      <c r="AH175" s="4">
        <v>2.0000000000000001E-4</v>
      </c>
      <c r="AI175" s="4">
        <v>3.5999999999999999E-3</v>
      </c>
      <c r="AJ175" s="4">
        <v>1E-4</v>
      </c>
      <c r="AK175" s="4">
        <v>4.1999999999999997E-3</v>
      </c>
      <c r="AL175" s="4">
        <v>0.15</v>
      </c>
      <c r="AM175" s="4">
        <v>0.42</v>
      </c>
      <c r="AN175" s="4">
        <v>1E-3</v>
      </c>
      <c r="AO175" s="4">
        <v>0.185</v>
      </c>
      <c r="AP175" t="str">
        <f t="shared" si="2"/>
        <v>('904L', 0.009, 0.119, 0.33, 1.9, 0.001, 0.008, 0.022, 0.045, 0.18, 0.69, 6.31, 19.18, 16.03, 25.55, 0.01, 0.7, 0.01, 2.15, 0.001, 0.23, 0.0071, 0.131, 0, 7.6, 0.0103, 0.1425, 0.0015, 0.008, 0.001, 0.025, 0.001, 0.065, 0.0002, 0.0036, 0.0001, 0.0042, 0.15, 0.42, 0.001, 0.185),</v>
      </c>
    </row>
    <row r="176" spans="1:42" x14ac:dyDescent="0.2">
      <c r="A176" s="3" t="s">
        <v>205</v>
      </c>
      <c r="B176" s="3">
        <v>0.02</v>
      </c>
      <c r="C176" s="3">
        <v>2.8000000000000001E-2</v>
      </c>
      <c r="D176" s="3">
        <v>1.7</v>
      </c>
      <c r="E176" s="3">
        <v>1.9</v>
      </c>
      <c r="F176" s="3">
        <v>1E-3</v>
      </c>
      <c r="G176" s="3">
        <v>5.0000000000000001E-3</v>
      </c>
      <c r="H176" s="3">
        <v>5.0000000000000001E-3</v>
      </c>
      <c r="I176" s="3">
        <v>0.04</v>
      </c>
      <c r="J176" s="3">
        <v>0.2</v>
      </c>
      <c r="K176" s="3">
        <v>0.4</v>
      </c>
      <c r="L176" s="3">
        <v>6.5</v>
      </c>
      <c r="M176" s="3">
        <v>6.55</v>
      </c>
      <c r="N176" s="3">
        <v>17</v>
      </c>
      <c r="O176" s="3">
        <v>17.2</v>
      </c>
      <c r="P176" s="3">
        <v>0.01</v>
      </c>
      <c r="Q176" s="3">
        <v>0.38</v>
      </c>
      <c r="R176" s="3">
        <v>0.01</v>
      </c>
      <c r="S176" s="3">
        <v>0.14000000000000001</v>
      </c>
      <c r="T176" s="3">
        <v>2E-3</v>
      </c>
      <c r="U176" s="3">
        <v>2E-3</v>
      </c>
      <c r="V176" s="3">
        <v>0</v>
      </c>
      <c r="W176" s="3">
        <v>0.06</v>
      </c>
      <c r="X176" s="3">
        <v>0</v>
      </c>
      <c r="Y176" s="3">
        <v>0</v>
      </c>
      <c r="Z176" s="3">
        <v>0.13</v>
      </c>
      <c r="AA176" s="3">
        <v>0.15</v>
      </c>
      <c r="AB176" s="3">
        <v>5.0000000000000001E-3</v>
      </c>
      <c r="AC176" s="3">
        <v>8.9999999999999993E-3</v>
      </c>
      <c r="AD176" s="3">
        <v>4.0000000000000001E-3</v>
      </c>
      <c r="AE176" s="3">
        <v>8.0000000000000002E-3</v>
      </c>
      <c r="AF176" s="3">
        <v>3.0000000000000001E-3</v>
      </c>
      <c r="AG176" s="3">
        <v>8.9999999999999993E-3</v>
      </c>
      <c r="AH176" s="3">
        <v>5.0000000000000001E-4</v>
      </c>
      <c r="AI176" s="3">
        <v>8.0000000000000004E-4</v>
      </c>
      <c r="AJ176" s="3">
        <v>1E-3</v>
      </c>
      <c r="AK176" s="3">
        <v>1.5E-3</v>
      </c>
      <c r="AL176" s="3">
        <v>0.16</v>
      </c>
      <c r="AM176" s="3">
        <v>0.41</v>
      </c>
      <c r="AN176" s="3">
        <v>0</v>
      </c>
      <c r="AO176" s="3">
        <v>7.0000000000000001E-3</v>
      </c>
      <c r="AP176" t="str">
        <f t="shared" si="2"/>
        <v>('301L-ST', 0.02, 0.028, 1.7, 1.9, 0.001, 0.005, 0.005, 0.04, 0.2, 0.4, 6.5, 6.55, 17, 17.2, 0.01, 0.38, 0.01, 0.14, 0.002, 0.002, 0, 0.06, 0, 0, 0.13, 0.15, 0.005, 0.009, 0.004, 0.008, 0.003, 0.009, 0.0005, 0.0008, 0.001, 0.0015, 0.16, 0.41, 0, 0.007),</v>
      </c>
    </row>
    <row r="177" spans="1:42" x14ac:dyDescent="0.2">
      <c r="A177" s="4" t="s">
        <v>206</v>
      </c>
      <c r="B177" s="4">
        <v>1.4999999999999999E-2</v>
      </c>
      <c r="C177" s="4">
        <v>2.4E-2</v>
      </c>
      <c r="D177" s="4">
        <v>0.84</v>
      </c>
      <c r="E177" s="4">
        <v>1.38</v>
      </c>
      <c r="F177" s="4">
        <v>4.0000000000000001E-3</v>
      </c>
      <c r="G177" s="4">
        <v>5.0000000000000001E-3</v>
      </c>
      <c r="H177" s="4">
        <v>0.03</v>
      </c>
      <c r="I177" s="4">
        <v>3.5000000000000003E-2</v>
      </c>
      <c r="J177" s="4">
        <v>0.15</v>
      </c>
      <c r="K177" s="4">
        <v>0.45</v>
      </c>
      <c r="L177" s="4">
        <v>0.32</v>
      </c>
      <c r="M177" s="4">
        <v>0.42</v>
      </c>
      <c r="N177" s="4">
        <v>11.15</v>
      </c>
      <c r="O177" s="4">
        <v>11.35</v>
      </c>
      <c r="P177" s="4">
        <v>0.05</v>
      </c>
      <c r="Q177" s="4">
        <v>0.15</v>
      </c>
      <c r="R177" s="4">
        <v>0.02</v>
      </c>
      <c r="S177" s="4">
        <v>0.03</v>
      </c>
      <c r="T177" s="4">
        <v>1E-3</v>
      </c>
      <c r="U177" s="4">
        <v>3.0000000000000001E-3</v>
      </c>
      <c r="V177" s="4">
        <v>2.5999999999999999E-2</v>
      </c>
      <c r="W177" s="4">
        <v>3.4000000000000002E-2</v>
      </c>
      <c r="X177" s="4">
        <v>0</v>
      </c>
      <c r="Y177" s="4">
        <v>4</v>
      </c>
      <c r="Z177" s="4">
        <v>1.4800000000000001E-2</v>
      </c>
      <c r="AA177" s="4">
        <v>2.2200000000000001E-2</v>
      </c>
      <c r="AB177" s="4">
        <v>1.6000000000000001E-3</v>
      </c>
      <c r="AC177" s="4">
        <v>3.3E-3</v>
      </c>
      <c r="AD177" s="4">
        <v>2.2000000000000001E-3</v>
      </c>
      <c r="AE177" s="4">
        <v>5.4000000000000003E-3</v>
      </c>
      <c r="AF177" s="4">
        <v>1.4E-3</v>
      </c>
      <c r="AG177" s="4">
        <v>4.3E-3</v>
      </c>
      <c r="AH177" s="4">
        <v>5.0000000000000001E-4</v>
      </c>
      <c r="AI177" s="4">
        <v>1.4E-3</v>
      </c>
      <c r="AJ177" s="4">
        <v>1.1000000000000001E-3</v>
      </c>
      <c r="AK177" s="4">
        <v>3.0000000000000001E-3</v>
      </c>
      <c r="AL177" s="4">
        <v>0.04</v>
      </c>
      <c r="AM177" s="4">
        <v>0.04</v>
      </c>
      <c r="AN177" s="4">
        <v>2E-3</v>
      </c>
      <c r="AO177" s="4">
        <v>5.0000000000000001E-3</v>
      </c>
      <c r="AP177" t="str">
        <f t="shared" si="2"/>
        <v>('EN1.4003', 0.015, 0.024, 0.84, 1.38, 0.004, 0.005, 0.03, 0.035, 0.15, 0.45, 0.32, 0.42, 11.15, 11.35, 0.05, 0.15, 0.02, 0.03, 0.001, 0.003, 0.026, 0.034, 0, 4, 0.0148, 0.0222, 0.0016, 0.0033, 0.0022, 0.0054, 0.0014, 0.0043, 0.0005, 0.0014, 0.0011, 0.003, 0.04, 0.04, 0.002, 0.005),</v>
      </c>
    </row>
    <row r="178" spans="1:42" x14ac:dyDescent="0.2">
      <c r="A178" s="3" t="s">
        <v>7</v>
      </c>
      <c r="B178" s="3">
        <v>0.11</v>
      </c>
      <c r="C178" s="3">
        <v>0.13</v>
      </c>
      <c r="D178" s="3">
        <v>9.75</v>
      </c>
      <c r="E178" s="3">
        <v>10.14</v>
      </c>
      <c r="F178" s="3">
        <v>0</v>
      </c>
      <c r="G178" s="3">
        <v>0.01</v>
      </c>
      <c r="H178" s="3">
        <v>0.05</v>
      </c>
      <c r="I178" s="3">
        <v>0.1</v>
      </c>
      <c r="J178" s="3">
        <v>0.3</v>
      </c>
      <c r="K178" s="3">
        <v>0.5</v>
      </c>
      <c r="L178" s="3">
        <v>0.8</v>
      </c>
      <c r="M178" s="3">
        <v>0.9</v>
      </c>
      <c r="N178" s="3">
        <v>14</v>
      </c>
      <c r="O178" s="3">
        <v>14.8</v>
      </c>
      <c r="P178" s="3">
        <v>0.6</v>
      </c>
      <c r="Q178" s="3">
        <v>0.8</v>
      </c>
      <c r="R178" s="3">
        <v>0.03</v>
      </c>
      <c r="S178" s="3">
        <v>0.16</v>
      </c>
      <c r="T178" s="3">
        <v>0</v>
      </c>
      <c r="U178" s="3">
        <v>0.01</v>
      </c>
      <c r="V178" s="3">
        <v>0</v>
      </c>
      <c r="W178" s="3">
        <v>0.08</v>
      </c>
      <c r="X178" s="3">
        <v>0</v>
      </c>
      <c r="Y178" s="3">
        <v>7.9</v>
      </c>
      <c r="Z178" s="3">
        <v>0.13300000000000001</v>
      </c>
      <c r="AA178" s="3">
        <v>0.17249999999999999</v>
      </c>
      <c r="AB178" s="3">
        <v>2E-3</v>
      </c>
      <c r="AC178" s="3">
        <v>8.0000000000000002E-3</v>
      </c>
      <c r="AD178" s="3">
        <v>3.0000000000000001E-3</v>
      </c>
      <c r="AE178" s="3">
        <v>1.9E-2</v>
      </c>
      <c r="AF178" s="3">
        <v>1E-3</v>
      </c>
      <c r="AG178" s="3">
        <v>8.0000000000000002E-3</v>
      </c>
      <c r="AH178" s="3">
        <v>2.0000000000000001E-4</v>
      </c>
      <c r="AI178" s="3">
        <v>1E-3</v>
      </c>
      <c r="AJ178" s="3">
        <v>1E-3</v>
      </c>
      <c r="AK178" s="3">
        <v>3.0000000000000001E-3</v>
      </c>
      <c r="AL178" s="3">
        <v>0.04</v>
      </c>
      <c r="AM178" s="3">
        <v>7.0000000000000007E-2</v>
      </c>
      <c r="AN178" s="3">
        <v>0</v>
      </c>
      <c r="AO178" s="3">
        <v>0.04</v>
      </c>
      <c r="AP178" t="str">
        <f t="shared" si="2"/>
        <v>('JT', 0.11, 0.13, 9.75, 10.14, 0, 0.01, 0.05, 0.1, 0.3, 0.5, 0.8, 0.9, 14, 14.8, 0.6, 0.8, 0.03, 0.16, 0, 0.01, 0, 0.08, 0, 7.9, 0.133, 0.1725, 0.002, 0.008, 0.003, 0.019, 0.001, 0.008, 0.0002, 0.001, 0.001, 0.003, 0.04, 0.07, 0, 0.04),</v>
      </c>
    </row>
    <row r="179" spans="1:42" x14ac:dyDescent="0.2">
      <c r="A179" s="4" t="s">
        <v>207</v>
      </c>
      <c r="B179" s="4">
        <v>0</v>
      </c>
      <c r="C179" s="4">
        <v>0</v>
      </c>
      <c r="D179" s="4">
        <v>0</v>
      </c>
      <c r="E179" s="4">
        <v>0</v>
      </c>
      <c r="F179" s="4">
        <v>0</v>
      </c>
      <c r="G179" s="4">
        <v>0</v>
      </c>
      <c r="H179" s="4">
        <v>0</v>
      </c>
      <c r="I179" s="4">
        <v>0</v>
      </c>
      <c r="J179" s="4">
        <v>0</v>
      </c>
      <c r="K179" s="4">
        <v>0</v>
      </c>
      <c r="L179" s="4">
        <v>0</v>
      </c>
      <c r="M179" s="4">
        <v>0</v>
      </c>
      <c r="N179" s="4">
        <v>0</v>
      </c>
      <c r="O179" s="4">
        <v>0</v>
      </c>
      <c r="P179" s="4">
        <v>0</v>
      </c>
      <c r="Q179" s="4">
        <v>0</v>
      </c>
      <c r="R179" s="4">
        <v>0</v>
      </c>
      <c r="S179" s="4">
        <v>0</v>
      </c>
      <c r="T179" s="4">
        <v>0</v>
      </c>
      <c r="U179" s="4">
        <v>0</v>
      </c>
      <c r="V179" s="4">
        <v>0</v>
      </c>
      <c r="W179" s="4">
        <v>0</v>
      </c>
      <c r="X179" s="4">
        <v>0</v>
      </c>
      <c r="Y179" s="4">
        <v>0</v>
      </c>
      <c r="Z179" s="4">
        <v>0</v>
      </c>
      <c r="AA179" s="4">
        <v>0</v>
      </c>
      <c r="AB179" s="4">
        <v>0</v>
      </c>
      <c r="AC179" s="4">
        <v>0</v>
      </c>
      <c r="AD179" s="4">
        <v>0</v>
      </c>
      <c r="AE179" s="4">
        <v>0</v>
      </c>
      <c r="AF179" s="4">
        <v>0</v>
      </c>
      <c r="AG179" s="4">
        <v>0</v>
      </c>
      <c r="AH179" s="4">
        <v>0</v>
      </c>
      <c r="AI179" s="4">
        <v>0</v>
      </c>
      <c r="AJ179" s="4">
        <v>0</v>
      </c>
      <c r="AK179" s="4">
        <v>0</v>
      </c>
      <c r="AL179" s="4">
        <v>0</v>
      </c>
      <c r="AM179" s="4">
        <v>0</v>
      </c>
      <c r="AN179" s="4">
        <v>0</v>
      </c>
      <c r="AO179" s="4">
        <v>0</v>
      </c>
      <c r="AP179" t="str">
        <f t="shared" si="2"/>
        <v>('IS1078GR3', 0, 0, 0, 0, 0, 0, 0, 0, 0, 0, 0, 0, 0, 0, 0, 0, 0, 0, 0, 0, 0, 0, 0, 0, 0, 0, 0, 0, 0, 0, 0, 0, 0, 0, 0, 0, 0, 0, 0, 0),</v>
      </c>
    </row>
    <row r="180" spans="1:42" x14ac:dyDescent="0.2">
      <c r="A180" s="3" t="s">
        <v>208</v>
      </c>
      <c r="B180" s="3">
        <v>0.03</v>
      </c>
      <c r="C180" s="3">
        <v>7.0000000000000007E-2</v>
      </c>
      <c r="D180" s="3">
        <v>0.15</v>
      </c>
      <c r="E180" s="3">
        <v>0.4</v>
      </c>
      <c r="F180" s="3">
        <v>4.0000000000000001E-3</v>
      </c>
      <c r="G180" s="3">
        <v>0.02</v>
      </c>
      <c r="H180" s="3">
        <v>8.0000000000000002E-3</v>
      </c>
      <c r="I180" s="3">
        <v>0.03</v>
      </c>
      <c r="J180" s="3">
        <v>8.0000000000000002E-3</v>
      </c>
      <c r="K180" s="3">
        <v>0.03</v>
      </c>
      <c r="L180" s="3">
        <v>0</v>
      </c>
      <c r="M180" s="3">
        <v>0</v>
      </c>
      <c r="N180" s="3">
        <v>0</v>
      </c>
      <c r="O180" s="3">
        <v>0</v>
      </c>
      <c r="P180" s="3">
        <v>0</v>
      </c>
      <c r="Q180" s="3">
        <v>0</v>
      </c>
      <c r="R180" s="3">
        <v>0</v>
      </c>
      <c r="S180" s="3">
        <v>0</v>
      </c>
      <c r="T180" s="3">
        <v>0</v>
      </c>
      <c r="U180" s="3">
        <v>0</v>
      </c>
      <c r="V180" s="3">
        <v>0</v>
      </c>
      <c r="W180" s="3">
        <v>0</v>
      </c>
      <c r="X180" s="3">
        <v>0</v>
      </c>
      <c r="Y180" s="3">
        <v>0</v>
      </c>
      <c r="Z180" s="3">
        <v>1.5E-3</v>
      </c>
      <c r="AA180" s="3">
        <v>8.9999999999999993E-3</v>
      </c>
      <c r="AB180" s="3">
        <v>0</v>
      </c>
      <c r="AC180" s="3">
        <v>0</v>
      </c>
      <c r="AD180" s="3">
        <v>0</v>
      </c>
      <c r="AE180" s="3">
        <v>0</v>
      </c>
      <c r="AF180" s="3">
        <v>0.02</v>
      </c>
      <c r="AG180" s="3">
        <v>0.08</v>
      </c>
      <c r="AH180" s="3">
        <v>0</v>
      </c>
      <c r="AI180" s="3">
        <v>0</v>
      </c>
      <c r="AJ180" s="3">
        <v>0</v>
      </c>
      <c r="AK180" s="3">
        <v>0</v>
      </c>
      <c r="AL180" s="3">
        <v>0</v>
      </c>
      <c r="AM180" s="3">
        <v>0</v>
      </c>
      <c r="AN180" s="3">
        <v>0</v>
      </c>
      <c r="AO180" s="3">
        <v>0</v>
      </c>
      <c r="AP180" t="str">
        <f t="shared" si="2"/>
        <v>('IS11513CR3', 0.03, 0.07, 0.15, 0.4, 0.004, 0.02, 0.008, 0.03, 0.008, 0.03, 0, 0, 0, 0, 0, 0, 0, 0, 0, 0, 0, 0, 0, 0, 0.0015, 0.009, 0, 0, 0, 0, 0.02, 0.08, 0, 0, 0, 0, 0, 0, 0, 0),</v>
      </c>
    </row>
    <row r="181" spans="1:42" x14ac:dyDescent="0.2">
      <c r="A181" s="4" t="s">
        <v>209</v>
      </c>
      <c r="B181" s="4">
        <v>0</v>
      </c>
      <c r="C181" s="4">
        <v>0</v>
      </c>
      <c r="D181" s="4">
        <v>0</v>
      </c>
      <c r="E181" s="4">
        <v>0</v>
      </c>
      <c r="F181" s="4">
        <v>0</v>
      </c>
      <c r="G181" s="4">
        <v>0</v>
      </c>
      <c r="H181" s="4">
        <v>0</v>
      </c>
      <c r="I181" s="4">
        <v>0</v>
      </c>
      <c r="J181" s="4">
        <v>0</v>
      </c>
      <c r="K181" s="4">
        <v>0</v>
      </c>
      <c r="L181" s="4">
        <v>0</v>
      </c>
      <c r="M181" s="4">
        <v>0</v>
      </c>
      <c r="N181" s="4">
        <v>0</v>
      </c>
      <c r="O181" s="4">
        <v>0</v>
      </c>
      <c r="P181" s="4">
        <v>0</v>
      </c>
      <c r="Q181" s="4">
        <v>0</v>
      </c>
      <c r="R181" s="4">
        <v>0</v>
      </c>
      <c r="S181" s="4">
        <v>0</v>
      </c>
      <c r="T181" s="4">
        <v>0</v>
      </c>
      <c r="U181" s="4">
        <v>0</v>
      </c>
      <c r="V181" s="4">
        <v>0</v>
      </c>
      <c r="W181" s="4">
        <v>0</v>
      </c>
      <c r="X181" s="4">
        <v>0</v>
      </c>
      <c r="Y181" s="4">
        <v>0</v>
      </c>
      <c r="Z181" s="4">
        <v>0</v>
      </c>
      <c r="AA181" s="4">
        <v>0</v>
      </c>
      <c r="AB181" s="4">
        <v>0</v>
      </c>
      <c r="AC181" s="4">
        <v>0</v>
      </c>
      <c r="AD181" s="4">
        <v>0</v>
      </c>
      <c r="AE181" s="4">
        <v>0</v>
      </c>
      <c r="AF181" s="4">
        <v>0</v>
      </c>
      <c r="AG181" s="4">
        <v>0</v>
      </c>
      <c r="AH181" s="4">
        <v>0</v>
      </c>
      <c r="AI181" s="4">
        <v>0</v>
      </c>
      <c r="AJ181" s="4">
        <v>0</v>
      </c>
      <c r="AK181" s="4">
        <v>0</v>
      </c>
      <c r="AL181" s="4">
        <v>0</v>
      </c>
      <c r="AM181" s="4">
        <v>0</v>
      </c>
      <c r="AN181" s="4">
        <v>0</v>
      </c>
      <c r="AO181" s="4">
        <v>0</v>
      </c>
      <c r="AP181" t="str">
        <f t="shared" si="2"/>
        <v>('C25HMNC', 0, 0, 0, 0, 0, 0, 0, 0, 0, 0, 0, 0, 0, 0, 0, 0, 0, 0, 0, 0, 0, 0, 0, 0, 0, 0, 0, 0, 0, 0, 0, 0, 0, 0, 0, 0, 0, 0, 0, 0),</v>
      </c>
    </row>
    <row r="182" spans="1:42" x14ac:dyDescent="0.2">
      <c r="A182" s="3" t="s">
        <v>210</v>
      </c>
      <c r="B182" s="3">
        <v>0</v>
      </c>
      <c r="C182" s="3">
        <v>0</v>
      </c>
      <c r="D182" s="3">
        <v>0</v>
      </c>
      <c r="E182" s="3">
        <v>0</v>
      </c>
      <c r="F182" s="3">
        <v>0</v>
      </c>
      <c r="G182" s="3">
        <v>0</v>
      </c>
      <c r="H182" s="3">
        <v>0</v>
      </c>
      <c r="I182" s="3">
        <v>0</v>
      </c>
      <c r="J182" s="3">
        <v>0</v>
      </c>
      <c r="K182" s="3">
        <v>0</v>
      </c>
      <c r="L182" s="3">
        <v>0</v>
      </c>
      <c r="M182" s="3">
        <v>0</v>
      </c>
      <c r="N182" s="3">
        <v>0</v>
      </c>
      <c r="O182" s="3">
        <v>0</v>
      </c>
      <c r="P182" s="3">
        <v>0</v>
      </c>
      <c r="Q182" s="3">
        <v>0</v>
      </c>
      <c r="R182" s="3">
        <v>0</v>
      </c>
      <c r="S182" s="3">
        <v>0</v>
      </c>
      <c r="T182" s="3">
        <v>0</v>
      </c>
      <c r="U182" s="3">
        <v>0</v>
      </c>
      <c r="V182" s="3">
        <v>0</v>
      </c>
      <c r="W182" s="3">
        <v>0</v>
      </c>
      <c r="X182" s="3">
        <v>0</v>
      </c>
      <c r="Y182" s="3">
        <v>0</v>
      </c>
      <c r="Z182" s="3">
        <v>0</v>
      </c>
      <c r="AA182" s="3">
        <v>0</v>
      </c>
      <c r="AB182" s="3">
        <v>0</v>
      </c>
      <c r="AC182" s="3">
        <v>0</v>
      </c>
      <c r="AD182" s="3">
        <v>0</v>
      </c>
      <c r="AE182" s="3">
        <v>0</v>
      </c>
      <c r="AF182" s="3">
        <v>0</v>
      </c>
      <c r="AG182" s="3">
        <v>0</v>
      </c>
      <c r="AH182" s="3">
        <v>0</v>
      </c>
      <c r="AI182" s="3">
        <v>0</v>
      </c>
      <c r="AJ182" s="3">
        <v>0</v>
      </c>
      <c r="AK182" s="3">
        <v>0</v>
      </c>
      <c r="AL182" s="3">
        <v>0</v>
      </c>
      <c r="AM182" s="3">
        <v>0</v>
      </c>
      <c r="AN182" s="3">
        <v>0</v>
      </c>
      <c r="AO182" s="3">
        <v>0</v>
      </c>
      <c r="AP182" t="str">
        <f t="shared" si="2"/>
        <v>('IS10748GR2', 0, 0, 0, 0, 0, 0, 0, 0, 0, 0, 0, 0, 0, 0, 0, 0, 0, 0, 0, 0, 0, 0, 0, 0, 0, 0, 0, 0, 0, 0, 0, 0, 0, 0, 0, 0, 0, 0, 0, 0),</v>
      </c>
    </row>
    <row r="183" spans="1:42" x14ac:dyDescent="0.2">
      <c r="A183" s="4" t="s">
        <v>211</v>
      </c>
      <c r="B183" s="4">
        <v>0</v>
      </c>
      <c r="C183" s="4">
        <v>0</v>
      </c>
      <c r="D183" s="4">
        <v>0</v>
      </c>
      <c r="E183" s="4">
        <v>0</v>
      </c>
      <c r="F183" s="4">
        <v>0</v>
      </c>
      <c r="G183" s="4">
        <v>0</v>
      </c>
      <c r="H183" s="4">
        <v>0</v>
      </c>
      <c r="I183" s="4">
        <v>0</v>
      </c>
      <c r="J183" s="4">
        <v>0</v>
      </c>
      <c r="K183" s="4">
        <v>0</v>
      </c>
      <c r="L183" s="4">
        <v>0</v>
      </c>
      <c r="M183" s="4">
        <v>0</v>
      </c>
      <c r="N183" s="4">
        <v>0</v>
      </c>
      <c r="O183" s="4">
        <v>0</v>
      </c>
      <c r="P183" s="4">
        <v>0</v>
      </c>
      <c r="Q183" s="4">
        <v>0</v>
      </c>
      <c r="R183" s="4">
        <v>0</v>
      </c>
      <c r="S183" s="4">
        <v>0</v>
      </c>
      <c r="T183" s="4">
        <v>0</v>
      </c>
      <c r="U183" s="4">
        <v>0</v>
      </c>
      <c r="V183" s="4">
        <v>0</v>
      </c>
      <c r="W183" s="4">
        <v>0</v>
      </c>
      <c r="X183" s="4">
        <v>0</v>
      </c>
      <c r="Y183" s="4">
        <v>0</v>
      </c>
      <c r="Z183" s="4">
        <v>0</v>
      </c>
      <c r="AA183" s="4">
        <v>0</v>
      </c>
      <c r="AB183" s="4">
        <v>0</v>
      </c>
      <c r="AC183" s="4">
        <v>0</v>
      </c>
      <c r="AD183" s="4">
        <v>0</v>
      </c>
      <c r="AE183" s="4">
        <v>0</v>
      </c>
      <c r="AF183" s="4">
        <v>0</v>
      </c>
      <c r="AG183" s="4">
        <v>0</v>
      </c>
      <c r="AH183" s="4">
        <v>0</v>
      </c>
      <c r="AI183" s="4">
        <v>0</v>
      </c>
      <c r="AJ183" s="4">
        <v>0</v>
      </c>
      <c r="AK183" s="4">
        <v>0</v>
      </c>
      <c r="AL183" s="4">
        <v>0</v>
      </c>
      <c r="AM183" s="4">
        <v>0</v>
      </c>
      <c r="AN183" s="4">
        <v>0</v>
      </c>
      <c r="AO183" s="4">
        <v>0</v>
      </c>
      <c r="AP183" t="str">
        <f t="shared" si="2"/>
        <v>('EN100252S355J2AR', 0, 0, 0, 0, 0, 0, 0, 0, 0, 0, 0, 0, 0, 0, 0, 0, 0, 0, 0, 0, 0, 0, 0, 0, 0, 0, 0, 0, 0, 0, 0, 0, 0, 0, 0, 0, 0, 0, 0, 0),</v>
      </c>
    </row>
    <row r="184" spans="1:42" x14ac:dyDescent="0.2">
      <c r="A184" s="3" t="s">
        <v>212</v>
      </c>
      <c r="B184" s="3">
        <v>0.02</v>
      </c>
      <c r="C184" s="3">
        <v>3.1E-2</v>
      </c>
      <c r="D184" s="3">
        <v>7</v>
      </c>
      <c r="E184" s="3">
        <v>7.3</v>
      </c>
      <c r="F184" s="3">
        <v>1E-3</v>
      </c>
      <c r="G184" s="3">
        <v>5.0000000000000001E-3</v>
      </c>
      <c r="H184" s="3">
        <v>1E-3</v>
      </c>
      <c r="I184" s="3">
        <v>4.3999999999999997E-2</v>
      </c>
      <c r="J184" s="3">
        <v>0.2</v>
      </c>
      <c r="K184" s="3">
        <v>0.35</v>
      </c>
      <c r="L184" s="3">
        <v>4.05</v>
      </c>
      <c r="M184" s="3">
        <v>4.1500000000000004</v>
      </c>
      <c r="N184" s="3">
        <v>16.100000000000001</v>
      </c>
      <c r="O184" s="3">
        <v>16.3</v>
      </c>
      <c r="P184" s="3">
        <v>0.55000000000000004</v>
      </c>
      <c r="Q184" s="3">
        <v>0.69</v>
      </c>
      <c r="R184" s="3">
        <v>0.01</v>
      </c>
      <c r="S184" s="3">
        <v>0.11</v>
      </c>
      <c r="T184" s="3">
        <v>1E-3</v>
      </c>
      <c r="U184" s="3">
        <v>5.0000000000000001E-3</v>
      </c>
      <c r="V184" s="3">
        <v>0</v>
      </c>
      <c r="W184" s="3">
        <v>1E-3</v>
      </c>
      <c r="X184" s="3">
        <v>0</v>
      </c>
      <c r="Y184" s="3">
        <v>7</v>
      </c>
      <c r="Z184" s="3">
        <v>0.1444</v>
      </c>
      <c r="AA184" s="3">
        <v>0.18110000000000001</v>
      </c>
      <c r="AB184" s="3">
        <v>1.1000000000000001E-3</v>
      </c>
      <c r="AC184" s="3">
        <v>6.6E-3</v>
      </c>
      <c r="AD184" s="3">
        <v>2.2000000000000001E-3</v>
      </c>
      <c r="AE184" s="3">
        <v>1.3299999999999999E-2</v>
      </c>
      <c r="AF184" s="3">
        <v>1E-3</v>
      </c>
      <c r="AG184" s="3">
        <v>6.0000000000000001E-3</v>
      </c>
      <c r="AH184" s="3">
        <v>1E-4</v>
      </c>
      <c r="AI184" s="3">
        <v>1.2999999999999999E-3</v>
      </c>
      <c r="AJ184" s="3">
        <v>1E-4</v>
      </c>
      <c r="AK184" s="3">
        <v>1.2999999999999999E-3</v>
      </c>
      <c r="AL184" s="3">
        <v>0.02</v>
      </c>
      <c r="AM184" s="3">
        <v>0.16</v>
      </c>
      <c r="AN184" s="3">
        <v>0</v>
      </c>
      <c r="AO184" s="3">
        <v>3.0000000000000001E-3</v>
      </c>
      <c r="AP184" t="str">
        <f t="shared" si="2"/>
        <v>('201LN', 0.02, 0.031, 7, 7.3, 0.001, 0.005, 0.001, 0.044, 0.2, 0.35, 4.05, 4.15, 16.1, 16.3, 0.55, 0.69, 0.01, 0.11, 0.001, 0.005, 0, 0.001, 0, 7, 0.1444, 0.1811, 0.0011, 0.0066, 0.0022, 0.0133, 0.001, 0.006, 0.0001, 0.0013, 0.0001, 0.0013, 0.02, 0.16, 0, 0.003),</v>
      </c>
    </row>
    <row r="185" spans="1:42" x14ac:dyDescent="0.2">
      <c r="A185" s="4" t="s">
        <v>213</v>
      </c>
      <c r="B185" s="4">
        <v>3.5000000000000003E-2</v>
      </c>
      <c r="C185" s="4">
        <v>0.04</v>
      </c>
      <c r="D185" s="4">
        <v>0.5</v>
      </c>
      <c r="E185" s="4">
        <v>0.7</v>
      </c>
      <c r="F185" s="4">
        <v>1E-3</v>
      </c>
      <c r="G185" s="4">
        <v>6.0000000000000001E-3</v>
      </c>
      <c r="H185" s="4">
        <v>2.7E-2</v>
      </c>
      <c r="I185" s="4">
        <v>0.03</v>
      </c>
      <c r="J185" s="4">
        <v>0.3</v>
      </c>
      <c r="K185" s="4">
        <v>0.45</v>
      </c>
      <c r="L185" s="4">
        <v>3.52</v>
      </c>
      <c r="M185" s="4">
        <v>3.6</v>
      </c>
      <c r="N185" s="4">
        <v>12.1</v>
      </c>
      <c r="O185" s="4">
        <v>12.4</v>
      </c>
      <c r="P185" s="4">
        <v>0.05</v>
      </c>
      <c r="Q185" s="4">
        <v>0.09</v>
      </c>
      <c r="R185" s="4">
        <v>0.52</v>
      </c>
      <c r="S185" s="4">
        <v>0.56000000000000005</v>
      </c>
      <c r="T185" s="4">
        <v>1E-3</v>
      </c>
      <c r="U185" s="4">
        <v>3.0000000000000001E-3</v>
      </c>
      <c r="V185" s="4">
        <v>0.02</v>
      </c>
      <c r="W185" s="4">
        <v>4.8000000000000001E-2</v>
      </c>
      <c r="X185" s="4">
        <v>0</v>
      </c>
      <c r="Y185" s="4">
        <v>4</v>
      </c>
      <c r="Z185" s="4">
        <v>2.1499999999999998E-2</v>
      </c>
      <c r="AA185" s="4">
        <v>2.69E-2</v>
      </c>
      <c r="AB185" s="4">
        <v>1E-3</v>
      </c>
      <c r="AC185" s="4">
        <v>8.0000000000000002E-3</v>
      </c>
      <c r="AD185" s="4">
        <v>1E-3</v>
      </c>
      <c r="AE185" s="4">
        <v>8.0000000000000002E-3</v>
      </c>
      <c r="AF185" s="4">
        <v>1.8E-3</v>
      </c>
      <c r="AG185" s="4">
        <v>6.0000000000000001E-3</v>
      </c>
      <c r="AH185" s="4">
        <v>2.9999999999999997E-4</v>
      </c>
      <c r="AI185" s="4">
        <v>1E-3</v>
      </c>
      <c r="AJ185" s="4">
        <v>2.9999999999999997E-4</v>
      </c>
      <c r="AK185" s="4">
        <v>5.0000000000000001E-4</v>
      </c>
      <c r="AL185" s="4">
        <v>0.11</v>
      </c>
      <c r="AM185" s="4">
        <v>0.21</v>
      </c>
      <c r="AN185" s="4">
        <v>1E-3</v>
      </c>
      <c r="AO185" s="4">
        <v>3.0000000000000001E-3</v>
      </c>
      <c r="AP185" t="str">
        <f t="shared" si="2"/>
        <v>('UNS S41500', 0.035, 0.04, 0.5, 0.7, 0.001, 0.006, 0.027, 0.03, 0.3, 0.45, 3.52, 3.6, 12.1, 12.4, 0.05, 0.09, 0.52, 0.56, 0.001, 0.003, 0.02, 0.048, 0, 4, 0.0215, 0.0269, 0.001, 0.008, 0.001, 0.008, 0.0018, 0.006, 0.0003, 0.001, 0.0003, 0.0005, 0.11, 0.21, 0.001, 0.003),</v>
      </c>
    </row>
    <row r="186" spans="1:42" x14ac:dyDescent="0.2">
      <c r="A186" s="3" t="s">
        <v>214</v>
      </c>
      <c r="B186" s="3">
        <v>1.7999999999999999E-2</v>
      </c>
      <c r="C186" s="3">
        <v>1.9E-2</v>
      </c>
      <c r="D186" s="3">
        <v>1.73</v>
      </c>
      <c r="E186" s="3">
        <v>1.79</v>
      </c>
      <c r="F186" s="3">
        <v>5.9999999999999995E-4</v>
      </c>
      <c r="G186" s="3">
        <v>1E-3</v>
      </c>
      <c r="H186" s="3">
        <v>2.9000000000000001E-2</v>
      </c>
      <c r="I186" s="3">
        <v>3.1E-2</v>
      </c>
      <c r="J186" s="3">
        <v>0.53</v>
      </c>
      <c r="K186" s="3">
        <v>0.56999999999999995</v>
      </c>
      <c r="L186" s="3">
        <v>3.58</v>
      </c>
      <c r="M186" s="3">
        <v>3.63</v>
      </c>
      <c r="N186" s="3">
        <v>22.45</v>
      </c>
      <c r="O186" s="3">
        <v>22.55</v>
      </c>
      <c r="P186" s="3">
        <v>0.13</v>
      </c>
      <c r="Q186" s="3">
        <v>0.13</v>
      </c>
      <c r="R186" s="3">
        <v>0.18</v>
      </c>
      <c r="S186" s="3">
        <v>0.23</v>
      </c>
      <c r="T186" s="3">
        <v>2E-3</v>
      </c>
      <c r="U186" s="3">
        <v>2E-3</v>
      </c>
      <c r="V186" s="3">
        <v>4.2999999999999997E-2</v>
      </c>
      <c r="W186" s="3">
        <v>5.0999999999999997E-2</v>
      </c>
      <c r="X186" s="3">
        <v>5.6</v>
      </c>
      <c r="Y186" s="3">
        <v>6</v>
      </c>
      <c r="Z186" s="3">
        <v>9.2499999999999999E-2</v>
      </c>
      <c r="AA186" s="3">
        <v>9.98E-2</v>
      </c>
      <c r="AB186" s="3">
        <v>3.2000000000000002E-3</v>
      </c>
      <c r="AC186" s="3">
        <v>3.3999999999999998E-3</v>
      </c>
      <c r="AD186" s="3">
        <v>3.3999999999999998E-3</v>
      </c>
      <c r="AE186" s="3">
        <v>3.5999999999999999E-3</v>
      </c>
      <c r="AF186" s="3">
        <v>1.2999999999999999E-2</v>
      </c>
      <c r="AG186" s="3">
        <v>1.55E-2</v>
      </c>
      <c r="AH186" s="3">
        <v>2E-3</v>
      </c>
      <c r="AI186" s="3">
        <v>2.3999999999999998E-3</v>
      </c>
      <c r="AJ186" s="3">
        <v>1.6000000000000001E-3</v>
      </c>
      <c r="AK186" s="3">
        <v>1.9E-3</v>
      </c>
      <c r="AL186" s="3">
        <v>0.19</v>
      </c>
      <c r="AM186" s="3">
        <v>0.19</v>
      </c>
      <c r="AN186" s="3">
        <v>3.0000000000000001E-3</v>
      </c>
      <c r="AO186" s="3">
        <v>3.0000000000000001E-3</v>
      </c>
      <c r="AP186" t="str">
        <f t="shared" si="2"/>
        <v>('UNS S32304', 0.018, 0.019, 1.73, 1.79, 0.0006, 0.001, 0.029, 0.031, 0.53, 0.57, 3.58, 3.63, 22.45, 22.55, 0.13, 0.13, 0.18, 0.23, 0.002, 0.002, 0.043, 0.051, 5.6, 6, 0.0925, 0.0998, 0.0032, 0.0034, 0.0034, 0.0036, 0.013, 0.0155, 0.002, 0.0024, 0.0016, 0.0019, 0.19, 0.19, 0.003, 0.003),</v>
      </c>
    </row>
    <row r="187" spans="1:42" x14ac:dyDescent="0.2">
      <c r="A187" s="4" t="s">
        <v>215</v>
      </c>
      <c r="B187" s="4">
        <v>1.4999999999999999E-2</v>
      </c>
      <c r="C187" s="4">
        <v>2.4E-2</v>
      </c>
      <c r="D187" s="4">
        <v>1.2</v>
      </c>
      <c r="E187" s="4">
        <v>1.9</v>
      </c>
      <c r="F187" s="4">
        <v>1E-3</v>
      </c>
      <c r="G187" s="4">
        <v>5.0000000000000001E-3</v>
      </c>
      <c r="H187" s="4">
        <v>0.03</v>
      </c>
      <c r="I187" s="4">
        <v>0.04</v>
      </c>
      <c r="J187" s="4">
        <v>0.2</v>
      </c>
      <c r="K187" s="4">
        <v>0.49</v>
      </c>
      <c r="L187" s="4">
        <v>9.02</v>
      </c>
      <c r="M187" s="4">
        <v>9.11</v>
      </c>
      <c r="N187" s="4">
        <v>17</v>
      </c>
      <c r="O187" s="4">
        <v>17.489999999999998</v>
      </c>
      <c r="P187" s="4">
        <v>0.24</v>
      </c>
      <c r="Q187" s="4">
        <v>0.5</v>
      </c>
      <c r="R187" s="4">
        <v>0.05</v>
      </c>
      <c r="S187" s="4">
        <v>0.3</v>
      </c>
      <c r="T187" s="4">
        <v>0.1</v>
      </c>
      <c r="U187" s="4">
        <v>0.23</v>
      </c>
      <c r="V187" s="4">
        <v>0</v>
      </c>
      <c r="W187" s="4">
        <v>7.8E-2</v>
      </c>
      <c r="X187" s="4">
        <v>0</v>
      </c>
      <c r="Y187" s="4">
        <v>7</v>
      </c>
      <c r="Z187" s="4">
        <v>1.12E-2</v>
      </c>
      <c r="AA187" s="4">
        <v>2.0400000000000001E-2</v>
      </c>
      <c r="AB187" s="4">
        <v>4.0000000000000001E-3</v>
      </c>
      <c r="AC187" s="4">
        <v>8.0000000000000002E-3</v>
      </c>
      <c r="AD187" s="4">
        <v>6.0000000000000001E-3</v>
      </c>
      <c r="AE187" s="4">
        <v>1.7999999999999999E-2</v>
      </c>
      <c r="AF187" s="4">
        <v>1.4E-2</v>
      </c>
      <c r="AG187" s="4">
        <v>6.5000000000000002E-2</v>
      </c>
      <c r="AH187" s="4">
        <v>2.9999999999999997E-4</v>
      </c>
      <c r="AI187" s="4">
        <v>3.0000000000000001E-3</v>
      </c>
      <c r="AJ187" s="4">
        <v>1E-4</v>
      </c>
      <c r="AK187" s="4">
        <v>8.0000000000000004E-4</v>
      </c>
      <c r="AL187" s="4">
        <v>0.12</v>
      </c>
      <c r="AM187" s="4">
        <v>0.27</v>
      </c>
      <c r="AN187" s="4">
        <v>0</v>
      </c>
      <c r="AO187" s="4">
        <v>0.02</v>
      </c>
      <c r="AP187" t="str">
        <f t="shared" si="2"/>
        <v>('12X18H10T', 0.015, 0.024, 1.2, 1.9, 0.001, 0.005, 0.03, 0.04, 0.2, 0.49, 9.02, 9.11, 17, 17.49, 0.24, 0.5, 0.05, 0.3, 0.1, 0.23, 0, 0.078, 0, 7, 0.0112, 0.0204, 0.004, 0.008, 0.006, 0.018, 0.014, 0.065, 0.0003, 0.003, 0.0001, 0.0008, 0.12, 0.27, 0, 0.02),</v>
      </c>
    </row>
    <row r="188" spans="1:42" x14ac:dyDescent="0.2">
      <c r="A188" s="3">
        <v>304</v>
      </c>
      <c r="B188" s="3">
        <v>2.1000000000000001E-2</v>
      </c>
      <c r="C188" s="3">
        <v>6.9000000000000006E-2</v>
      </c>
      <c r="D188" s="3">
        <v>0.9</v>
      </c>
      <c r="E188" s="3">
        <v>1.444</v>
      </c>
      <c r="F188" s="3">
        <v>0</v>
      </c>
      <c r="G188" s="3">
        <v>0.01</v>
      </c>
      <c r="H188" s="3">
        <v>0.03</v>
      </c>
      <c r="I188" s="3">
        <v>0.05</v>
      </c>
      <c r="J188" s="3">
        <v>0.2</v>
      </c>
      <c r="K188" s="3">
        <v>0.56000000000000005</v>
      </c>
      <c r="L188" s="3">
        <v>8.01</v>
      </c>
      <c r="M188" s="3">
        <v>8.1</v>
      </c>
      <c r="N188" s="3">
        <v>18</v>
      </c>
      <c r="O188" s="3">
        <v>18.5</v>
      </c>
      <c r="P188" s="3">
        <v>0.19</v>
      </c>
      <c r="Q188" s="3">
        <v>0.7</v>
      </c>
      <c r="R188" s="3">
        <v>0.09</v>
      </c>
      <c r="S188" s="3">
        <v>0.35</v>
      </c>
      <c r="T188" s="3">
        <v>0</v>
      </c>
      <c r="U188" s="3">
        <v>0.01</v>
      </c>
      <c r="V188" s="3">
        <v>0</v>
      </c>
      <c r="W188" s="3">
        <v>0.09</v>
      </c>
      <c r="X188" s="3">
        <v>0</v>
      </c>
      <c r="Y188" s="3">
        <v>7.6</v>
      </c>
      <c r="Z188" s="3">
        <v>2.75E-2</v>
      </c>
      <c r="AA188" s="3">
        <v>6.8500000000000005E-2</v>
      </c>
      <c r="AB188" s="3">
        <v>3.0000000000000001E-3</v>
      </c>
      <c r="AC188" s="3">
        <v>7.0000000000000001E-3</v>
      </c>
      <c r="AD188" s="3">
        <v>7.0000000000000001E-3</v>
      </c>
      <c r="AE188" s="3">
        <v>2.5000000000000001E-2</v>
      </c>
      <c r="AF188" s="3">
        <v>1E-3</v>
      </c>
      <c r="AG188" s="3">
        <v>0.01</v>
      </c>
      <c r="AH188" s="3">
        <v>2.0000000000000001E-4</v>
      </c>
      <c r="AI188" s="3">
        <v>1.9E-3</v>
      </c>
      <c r="AJ188" s="3">
        <v>1E-4</v>
      </c>
      <c r="AK188" s="3">
        <v>7.1000000000000004E-3</v>
      </c>
      <c r="AL188" s="3">
        <v>0.15</v>
      </c>
      <c r="AM188" s="3">
        <v>0.41</v>
      </c>
      <c r="AN188" s="3">
        <v>0</v>
      </c>
      <c r="AO188" s="3">
        <v>0.04</v>
      </c>
      <c r="AP188" t="str">
        <f t="shared" si="2"/>
        <v>('304', 0.021, 0.069, 0.9, 1.444, 0, 0.01, 0.03, 0.05, 0.2, 0.56, 8.01, 8.1, 18, 18.5, 0.19, 0.7, 0.09, 0.35, 0, 0.01, 0, 0.09, 0, 7.6, 0.0275, 0.0685, 0.003, 0.007, 0.007, 0.025, 0.001, 0.01, 0.0002, 0.0019, 0.0001, 0.0071, 0.15, 0.41, 0, 0.04),</v>
      </c>
    </row>
    <row r="189" spans="1:42" x14ac:dyDescent="0.2">
      <c r="A189" s="4">
        <v>409</v>
      </c>
      <c r="B189" s="4">
        <v>6.4999999999999997E-3</v>
      </c>
      <c r="C189" s="4">
        <v>2.1999999999999999E-2</v>
      </c>
      <c r="D189" s="4">
        <v>0.2</v>
      </c>
      <c r="E189" s="4">
        <v>1.3</v>
      </c>
      <c r="F189" s="4">
        <v>1E-3</v>
      </c>
      <c r="G189" s="4">
        <v>8.0000000000000002E-3</v>
      </c>
      <c r="H189" s="4">
        <v>2.7E-2</v>
      </c>
      <c r="I189" s="4">
        <v>0.04</v>
      </c>
      <c r="J189" s="4">
        <v>0.4</v>
      </c>
      <c r="K189" s="4">
        <v>0.7</v>
      </c>
      <c r="L189" s="4">
        <v>0.06</v>
      </c>
      <c r="M189" s="4">
        <v>0.27</v>
      </c>
      <c r="N189" s="4">
        <v>11.08</v>
      </c>
      <c r="O189" s="4">
        <v>11.7</v>
      </c>
      <c r="P189" s="4">
        <v>0.01</v>
      </c>
      <c r="Q189" s="4">
        <v>0.18</v>
      </c>
      <c r="R189" s="4">
        <v>0.01</v>
      </c>
      <c r="S189" s="4">
        <v>0.04</v>
      </c>
      <c r="T189" s="4">
        <v>1E-3</v>
      </c>
      <c r="U189" s="4">
        <v>0.28000000000000003</v>
      </c>
      <c r="V189" s="4">
        <v>0.02</v>
      </c>
      <c r="W189" s="4">
        <v>6.9000000000000006E-2</v>
      </c>
      <c r="X189" s="4">
        <v>4.4000000000000004</v>
      </c>
      <c r="Y189" s="4">
        <v>4.5</v>
      </c>
      <c r="Z189" s="4">
        <v>7.0000000000000001E-3</v>
      </c>
      <c r="AA189" s="4">
        <v>2.8899999999999999E-2</v>
      </c>
      <c r="AB189" s="4">
        <v>1.8E-3</v>
      </c>
      <c r="AC189" s="4">
        <v>6.4000000000000003E-3</v>
      </c>
      <c r="AD189" s="4">
        <v>2E-3</v>
      </c>
      <c r="AE189" s="4">
        <v>3.1E-2</v>
      </c>
      <c r="AF189" s="4">
        <v>2E-3</v>
      </c>
      <c r="AG189" s="4">
        <v>5.7000000000000002E-2</v>
      </c>
      <c r="AH189" s="4">
        <v>2.9999999999999997E-4</v>
      </c>
      <c r="AI189" s="4">
        <v>1.8E-3</v>
      </c>
      <c r="AJ189" s="4">
        <v>1E-4</v>
      </c>
      <c r="AK189" s="4">
        <v>8.0000000000000004E-4</v>
      </c>
      <c r="AL189" s="4">
        <v>0.02</v>
      </c>
      <c r="AM189" s="4">
        <v>0.04</v>
      </c>
      <c r="AN189" s="4">
        <v>1E-3</v>
      </c>
      <c r="AO189" s="4">
        <v>1.2E-2</v>
      </c>
      <c r="AP189" t="str">
        <f t="shared" si="2"/>
        <v>('409', 0.0065, 0.022, 0.2, 1.3, 0.001, 0.008, 0.027, 0.04, 0.4, 0.7, 0.06, 0.27, 11.08, 11.7, 0.01, 0.18, 0.01, 0.04, 0.001, 0.28, 0.02, 0.069, 4.4, 4.5, 0.007, 0.0289, 0.0018, 0.0064, 0.002, 0.031, 0.002, 0.057, 0.0003, 0.0018, 0.0001, 0.0008, 0.02, 0.04, 0.001, 0.012),</v>
      </c>
    </row>
    <row r="190" spans="1:42" x14ac:dyDescent="0.2">
      <c r="A190" s="3" t="s">
        <v>216</v>
      </c>
      <c r="B190" s="3">
        <v>0</v>
      </c>
      <c r="C190" s="3">
        <v>0</v>
      </c>
      <c r="D190" s="3">
        <v>0</v>
      </c>
      <c r="E190" s="3">
        <v>0</v>
      </c>
      <c r="F190" s="3">
        <v>0</v>
      </c>
      <c r="G190" s="3">
        <v>0</v>
      </c>
      <c r="H190" s="3">
        <v>0</v>
      </c>
      <c r="I190" s="3">
        <v>0</v>
      </c>
      <c r="J190" s="3">
        <v>0</v>
      </c>
      <c r="K190" s="3">
        <v>0</v>
      </c>
      <c r="L190" s="3">
        <v>0</v>
      </c>
      <c r="M190" s="3">
        <v>0</v>
      </c>
      <c r="N190" s="3">
        <v>0</v>
      </c>
      <c r="O190" s="3">
        <v>0</v>
      </c>
      <c r="P190" s="3">
        <v>0</v>
      </c>
      <c r="Q190" s="3">
        <v>0</v>
      </c>
      <c r="R190" s="3">
        <v>0</v>
      </c>
      <c r="S190" s="3">
        <v>0</v>
      </c>
      <c r="T190" s="3">
        <v>0</v>
      </c>
      <c r="U190" s="3">
        <v>0</v>
      </c>
      <c r="V190" s="3">
        <v>0</v>
      </c>
      <c r="W190" s="3">
        <v>0</v>
      </c>
      <c r="X190" s="3">
        <v>0</v>
      </c>
      <c r="Y190" s="3">
        <v>0</v>
      </c>
      <c r="Z190" s="3">
        <v>0</v>
      </c>
      <c r="AA190" s="3">
        <v>0</v>
      </c>
      <c r="AB190" s="3">
        <v>0</v>
      </c>
      <c r="AC190" s="3">
        <v>0</v>
      </c>
      <c r="AD190" s="3">
        <v>0</v>
      </c>
      <c r="AE190" s="3">
        <v>0</v>
      </c>
      <c r="AF190" s="3">
        <v>0</v>
      </c>
      <c r="AG190" s="3">
        <v>0</v>
      </c>
      <c r="AH190" s="3">
        <v>0</v>
      </c>
      <c r="AI190" s="3">
        <v>0</v>
      </c>
      <c r="AJ190" s="3">
        <v>0</v>
      </c>
      <c r="AK190" s="3">
        <v>0</v>
      </c>
      <c r="AL190" s="3">
        <v>0</v>
      </c>
      <c r="AM190" s="3">
        <v>0</v>
      </c>
      <c r="AN190" s="3">
        <v>0</v>
      </c>
      <c r="AO190" s="3">
        <v>0</v>
      </c>
      <c r="AP190" t="str">
        <f t="shared" si="2"/>
        <v>('AISI1552', 0, 0, 0, 0, 0, 0, 0, 0, 0, 0, 0, 0, 0, 0, 0, 0, 0, 0, 0, 0, 0, 0, 0, 0, 0, 0, 0, 0, 0, 0, 0, 0, 0, 0, 0, 0, 0, 0, 0, 0),</v>
      </c>
    </row>
    <row r="191" spans="1:42" x14ac:dyDescent="0.2">
      <c r="A191" s="4" t="s">
        <v>217</v>
      </c>
      <c r="B191" s="4">
        <v>0.02</v>
      </c>
      <c r="C191" s="4">
        <v>0.14000000000000001</v>
      </c>
      <c r="D191" s="4">
        <v>6.68</v>
      </c>
      <c r="E191" s="4">
        <v>10.14</v>
      </c>
      <c r="F191" s="4">
        <v>1E-3</v>
      </c>
      <c r="G191" s="4">
        <v>8.0000000000000002E-3</v>
      </c>
      <c r="H191" s="4">
        <v>3.5000000000000003E-2</v>
      </c>
      <c r="I191" s="4">
        <v>9.2999999999999999E-2</v>
      </c>
      <c r="J191" s="4">
        <v>0.2</v>
      </c>
      <c r="K191" s="4">
        <v>0.55000000000000004</v>
      </c>
      <c r="L191" s="4">
        <v>0.8</v>
      </c>
      <c r="M191" s="4">
        <v>4.1100000000000003</v>
      </c>
      <c r="N191" s="4">
        <v>13.7</v>
      </c>
      <c r="O191" s="4">
        <v>16.5</v>
      </c>
      <c r="P191" s="4">
        <v>0.11</v>
      </c>
      <c r="Q191" s="4">
        <v>2.08</v>
      </c>
      <c r="R191" s="4">
        <v>0.03</v>
      </c>
      <c r="S191" s="4">
        <v>0.19</v>
      </c>
      <c r="T191" s="4">
        <v>1E-3</v>
      </c>
      <c r="U191" s="4">
        <v>7.0000000000000001E-3</v>
      </c>
      <c r="V191" s="4">
        <v>3.5000000000000003E-2</v>
      </c>
      <c r="W191" s="4">
        <v>0.08</v>
      </c>
      <c r="X191" s="4">
        <v>0</v>
      </c>
      <c r="Y191" s="4">
        <v>7.9</v>
      </c>
      <c r="Z191" s="4">
        <v>0.12</v>
      </c>
      <c r="AA191" s="4">
        <v>0.19800000000000001</v>
      </c>
      <c r="AB191" s="4">
        <v>2.0999999999999999E-3</v>
      </c>
      <c r="AC191" s="4">
        <v>8.0000000000000002E-3</v>
      </c>
      <c r="AD191" s="4">
        <v>2.5999999999999999E-3</v>
      </c>
      <c r="AE191" s="4">
        <v>1.9E-2</v>
      </c>
      <c r="AF191" s="4">
        <v>1E-3</v>
      </c>
      <c r="AG191" s="4">
        <v>8.5000000000000006E-3</v>
      </c>
      <c r="AH191" s="4">
        <v>1E-4</v>
      </c>
      <c r="AI191" s="4">
        <v>1.8E-3</v>
      </c>
      <c r="AJ191" s="4">
        <v>4.0000000000000002E-4</v>
      </c>
      <c r="AK191" s="4">
        <v>2.5999999999999999E-3</v>
      </c>
      <c r="AL191" s="4">
        <v>0.04</v>
      </c>
      <c r="AM191" s="4">
        <v>0.12</v>
      </c>
      <c r="AN191" s="4">
        <v>1E-3</v>
      </c>
      <c r="AO191" s="4">
        <v>3.9E-2</v>
      </c>
      <c r="AP191" t="str">
        <f t="shared" si="2"/>
        <v>('AUS', 0.02, 0.14, 6.68, 10.14, 0.001, 0.008, 0.035, 0.093, 0.2, 0.55, 0.8, 4.11, 13.7, 16.5, 0.11, 2.08, 0.03, 0.19, 0.001, 0.007, 0.035, 0.08, 0, 7.9, 0.12, 0.198, 0.0021, 0.008, 0.0026, 0.019, 0.001, 0.0085, 0.0001, 0.0018, 0.0004, 0.0026, 0.04, 0.12, 0.001, 0.039),</v>
      </c>
    </row>
    <row r="192" spans="1:42" x14ac:dyDescent="0.2">
      <c r="A192" s="3" t="s">
        <v>218</v>
      </c>
      <c r="B192" s="3">
        <v>6.1000000000000004E-3</v>
      </c>
      <c r="C192" s="3">
        <v>2.1999999999999999E-2</v>
      </c>
      <c r="D192" s="3">
        <v>0.2</v>
      </c>
      <c r="E192" s="3">
        <v>1.3</v>
      </c>
      <c r="F192" s="3">
        <v>1E-3</v>
      </c>
      <c r="G192" s="3">
        <v>8.0000000000000002E-3</v>
      </c>
      <c r="H192" s="3">
        <v>2.7E-2</v>
      </c>
      <c r="I192" s="3">
        <v>0.04</v>
      </c>
      <c r="J192" s="3">
        <v>0.4</v>
      </c>
      <c r="K192" s="3">
        <v>0.7</v>
      </c>
      <c r="L192" s="3">
        <v>0.06</v>
      </c>
      <c r="M192" s="3">
        <v>0.3</v>
      </c>
      <c r="N192" s="3">
        <v>11.08</v>
      </c>
      <c r="O192" s="3">
        <v>11.7</v>
      </c>
      <c r="P192" s="3">
        <v>0.01</v>
      </c>
      <c r="Q192" s="3">
        <v>0.2</v>
      </c>
      <c r="R192" s="3">
        <v>0.01</v>
      </c>
      <c r="S192" s="3">
        <v>0.04</v>
      </c>
      <c r="T192" s="3">
        <v>1E-3</v>
      </c>
      <c r="U192" s="3">
        <v>0.28000000000000003</v>
      </c>
      <c r="V192" s="3">
        <v>0.02</v>
      </c>
      <c r="W192" s="3">
        <v>0.05</v>
      </c>
      <c r="X192" s="3">
        <v>0</v>
      </c>
      <c r="Y192" s="3">
        <v>4.4000000000000004</v>
      </c>
      <c r="Z192" s="3">
        <v>6.7000000000000002E-3</v>
      </c>
      <c r="AA192" s="3">
        <v>2.8899999999999999E-2</v>
      </c>
      <c r="AB192" s="3">
        <v>1.8E-3</v>
      </c>
      <c r="AC192" s="3">
        <v>6.4000000000000003E-3</v>
      </c>
      <c r="AD192" s="3">
        <v>2E-3</v>
      </c>
      <c r="AE192" s="3">
        <v>3.1E-2</v>
      </c>
      <c r="AF192" s="3">
        <v>2E-3</v>
      </c>
      <c r="AG192" s="3">
        <v>5.9799999999999999E-2</v>
      </c>
      <c r="AH192" s="3">
        <v>2.9999999999999997E-4</v>
      </c>
      <c r="AI192" s="3">
        <v>1.8E-3</v>
      </c>
      <c r="AJ192" s="3">
        <v>0</v>
      </c>
      <c r="AK192" s="3">
        <v>8.0000000000000004E-4</v>
      </c>
      <c r="AL192" s="3">
        <v>0.02</v>
      </c>
      <c r="AM192" s="3">
        <v>0.04</v>
      </c>
      <c r="AN192" s="3">
        <v>1E-3</v>
      </c>
      <c r="AO192" s="3">
        <v>1.2E-2</v>
      </c>
      <c r="AP192" t="str">
        <f t="shared" si="2"/>
        <v>('409L', 0.0061, 0.022, 0.2, 1.3, 0.001, 0.008, 0.027, 0.04, 0.4, 0.7, 0.06, 0.3, 11.08, 11.7, 0.01, 0.2, 0.01, 0.04, 0.001, 0.28, 0.02, 0.05, 0, 4.4, 0.0067, 0.0289, 0.0018, 0.0064, 0.002, 0.031, 0.002, 0.0598, 0.0003, 0.0018, 0, 0.0008, 0.02, 0.04, 0.001, 0.012),</v>
      </c>
    </row>
    <row r="193" spans="1:42" x14ac:dyDescent="0.2">
      <c r="A193" s="4" t="s">
        <v>219</v>
      </c>
      <c r="B193" s="4">
        <v>0</v>
      </c>
      <c r="C193" s="4">
        <v>0</v>
      </c>
      <c r="D193" s="4">
        <v>0</v>
      </c>
      <c r="E193" s="4">
        <v>0</v>
      </c>
      <c r="F193" s="4">
        <v>0</v>
      </c>
      <c r="G193" s="4">
        <v>0</v>
      </c>
      <c r="H193" s="4">
        <v>0</v>
      </c>
      <c r="I193" s="4">
        <v>0</v>
      </c>
      <c r="J193" s="4">
        <v>0</v>
      </c>
      <c r="K193" s="4">
        <v>0</v>
      </c>
      <c r="L193" s="4">
        <v>0</v>
      </c>
      <c r="M193" s="4">
        <v>0</v>
      </c>
      <c r="N193" s="4">
        <v>0</v>
      </c>
      <c r="O193" s="4">
        <v>0</v>
      </c>
      <c r="P193" s="4">
        <v>0</v>
      </c>
      <c r="Q193" s="4">
        <v>0</v>
      </c>
      <c r="R193" s="4">
        <v>0</v>
      </c>
      <c r="S193" s="4">
        <v>0</v>
      </c>
      <c r="T193" s="4">
        <v>0</v>
      </c>
      <c r="U193" s="4">
        <v>0</v>
      </c>
      <c r="V193" s="4">
        <v>0</v>
      </c>
      <c r="W193" s="4">
        <v>0</v>
      </c>
      <c r="X193" s="4">
        <v>0</v>
      </c>
      <c r="Y193" s="4">
        <v>0</v>
      </c>
      <c r="Z193" s="4">
        <v>0</v>
      </c>
      <c r="AA193" s="4">
        <v>0</v>
      </c>
      <c r="AB193" s="4">
        <v>0</v>
      </c>
      <c r="AC193" s="4">
        <v>0</v>
      </c>
      <c r="AD193" s="4">
        <v>0</v>
      </c>
      <c r="AE193" s="4">
        <v>0</v>
      </c>
      <c r="AF193" s="4">
        <v>0</v>
      </c>
      <c r="AG193" s="4">
        <v>0</v>
      </c>
      <c r="AH193" s="4">
        <v>0</v>
      </c>
      <c r="AI193" s="4">
        <v>0</v>
      </c>
      <c r="AJ193" s="4">
        <v>0</v>
      </c>
      <c r="AK193" s="4">
        <v>0</v>
      </c>
      <c r="AL193" s="4">
        <v>0</v>
      </c>
      <c r="AM193" s="4">
        <v>0</v>
      </c>
      <c r="AN193" s="4">
        <v>0</v>
      </c>
      <c r="AO193" s="4">
        <v>0</v>
      </c>
      <c r="AP193" t="str">
        <f t="shared" si="2"/>
        <v>('IS2062E350BR', 0, 0, 0, 0, 0, 0, 0, 0, 0, 0, 0, 0, 0, 0, 0, 0, 0, 0, 0, 0, 0, 0, 0, 0, 0, 0, 0, 0, 0, 0, 0, 0, 0, 0, 0, 0, 0, 0, 0, 0),</v>
      </c>
    </row>
    <row r="194" spans="1:42" x14ac:dyDescent="0.2">
      <c r="A194" s="3" t="s">
        <v>220</v>
      </c>
      <c r="B194" s="3">
        <v>0</v>
      </c>
      <c r="C194" s="3">
        <v>0</v>
      </c>
      <c r="D194" s="3">
        <v>0</v>
      </c>
      <c r="E194" s="3">
        <v>0</v>
      </c>
      <c r="F194" s="3">
        <v>0</v>
      </c>
      <c r="G194" s="3">
        <v>0</v>
      </c>
      <c r="H194" s="3">
        <v>0</v>
      </c>
      <c r="I194" s="3">
        <v>0</v>
      </c>
      <c r="J194" s="3">
        <v>0</v>
      </c>
      <c r="K194" s="3">
        <v>0</v>
      </c>
      <c r="L194" s="3">
        <v>0</v>
      </c>
      <c r="M194" s="3">
        <v>0</v>
      </c>
      <c r="N194" s="3">
        <v>0</v>
      </c>
      <c r="O194" s="3">
        <v>0</v>
      </c>
      <c r="P194" s="3">
        <v>0</v>
      </c>
      <c r="Q194" s="3">
        <v>0</v>
      </c>
      <c r="R194" s="3">
        <v>0</v>
      </c>
      <c r="S194" s="3">
        <v>0</v>
      </c>
      <c r="T194" s="3">
        <v>0</v>
      </c>
      <c r="U194" s="3">
        <v>0</v>
      </c>
      <c r="V194" s="3">
        <v>0</v>
      </c>
      <c r="W194" s="3">
        <v>0</v>
      </c>
      <c r="X194" s="3">
        <v>0</v>
      </c>
      <c r="Y194" s="3">
        <v>0</v>
      </c>
      <c r="Z194" s="3">
        <v>0</v>
      </c>
      <c r="AA194" s="3">
        <v>0</v>
      </c>
      <c r="AB194" s="3">
        <v>0</v>
      </c>
      <c r="AC194" s="3">
        <v>0</v>
      </c>
      <c r="AD194" s="3">
        <v>0</v>
      </c>
      <c r="AE194" s="3">
        <v>0</v>
      </c>
      <c r="AF194" s="3">
        <v>0</v>
      </c>
      <c r="AG194" s="3">
        <v>0</v>
      </c>
      <c r="AH194" s="3">
        <v>0</v>
      </c>
      <c r="AI194" s="3">
        <v>0</v>
      </c>
      <c r="AJ194" s="3">
        <v>0</v>
      </c>
      <c r="AK194" s="3">
        <v>0</v>
      </c>
      <c r="AL194" s="3">
        <v>0</v>
      </c>
      <c r="AM194" s="3">
        <v>0</v>
      </c>
      <c r="AN194" s="3">
        <v>0</v>
      </c>
      <c r="AO194" s="3">
        <v>0</v>
      </c>
      <c r="AP194" t="str">
        <f t="shared" si="2"/>
        <v>('EN10025-2 S235JR+AR', 0, 0, 0, 0, 0, 0, 0, 0, 0, 0, 0, 0, 0, 0, 0, 0, 0, 0, 0, 0, 0, 0, 0, 0, 0, 0, 0, 0, 0, 0, 0, 0, 0, 0, 0, 0, 0, 0, 0, 0),</v>
      </c>
    </row>
    <row r="195" spans="1:42" x14ac:dyDescent="0.2">
      <c r="A195" s="4" t="s">
        <v>221</v>
      </c>
      <c r="B195" s="4">
        <v>0</v>
      </c>
      <c r="C195" s="4">
        <v>0</v>
      </c>
      <c r="D195" s="4">
        <v>0</v>
      </c>
      <c r="E195" s="4">
        <v>0</v>
      </c>
      <c r="F195" s="4">
        <v>0</v>
      </c>
      <c r="G195" s="4">
        <v>0</v>
      </c>
      <c r="H195" s="4">
        <v>0</v>
      </c>
      <c r="I195" s="4">
        <v>0</v>
      </c>
      <c r="J195" s="4">
        <v>0</v>
      </c>
      <c r="K195" s="4">
        <v>0</v>
      </c>
      <c r="L195" s="4">
        <v>0</v>
      </c>
      <c r="M195" s="4">
        <v>0</v>
      </c>
      <c r="N195" s="4">
        <v>0</v>
      </c>
      <c r="O195" s="4">
        <v>0</v>
      </c>
      <c r="P195" s="4">
        <v>0</v>
      </c>
      <c r="Q195" s="4">
        <v>0</v>
      </c>
      <c r="R195" s="4">
        <v>0</v>
      </c>
      <c r="S195" s="4">
        <v>0</v>
      </c>
      <c r="T195" s="4">
        <v>0</v>
      </c>
      <c r="U195" s="4">
        <v>0</v>
      </c>
      <c r="V195" s="4">
        <v>0</v>
      </c>
      <c r="W195" s="4">
        <v>0</v>
      </c>
      <c r="X195" s="4">
        <v>0</v>
      </c>
      <c r="Y195" s="4">
        <v>0</v>
      </c>
      <c r="Z195" s="4">
        <v>0</v>
      </c>
      <c r="AA195" s="4">
        <v>0</v>
      </c>
      <c r="AB195" s="4">
        <v>0</v>
      </c>
      <c r="AC195" s="4">
        <v>0</v>
      </c>
      <c r="AD195" s="4">
        <v>0</v>
      </c>
      <c r="AE195" s="4">
        <v>0</v>
      </c>
      <c r="AF195" s="4">
        <v>0</v>
      </c>
      <c r="AG195" s="4">
        <v>0</v>
      </c>
      <c r="AH195" s="4">
        <v>0</v>
      </c>
      <c r="AI195" s="4">
        <v>0</v>
      </c>
      <c r="AJ195" s="4">
        <v>0</v>
      </c>
      <c r="AK195" s="4">
        <v>0</v>
      </c>
      <c r="AL195" s="4">
        <v>0</v>
      </c>
      <c r="AM195" s="4">
        <v>0</v>
      </c>
      <c r="AN195" s="4">
        <v>0</v>
      </c>
      <c r="AO195" s="4">
        <v>0</v>
      </c>
      <c r="AP195" t="str">
        <f t="shared" ref="AP195:AP204" si="3">"('"&amp;A195&amp;"', "&amp;_xlfn.TEXTJOIN(", ", TRUE, B195:AO195)&amp;"),"</f>
        <v>('EN10025-2 S355J2+AR', 0, 0, 0, 0, 0, 0, 0, 0, 0, 0, 0, 0, 0, 0, 0, 0, 0, 0, 0, 0, 0, 0, 0, 0, 0, 0, 0, 0, 0, 0, 0, 0, 0, 0, 0, 0, 0, 0, 0, 0),</v>
      </c>
    </row>
    <row r="196" spans="1:42" x14ac:dyDescent="0.2">
      <c r="A196" s="3">
        <v>301</v>
      </c>
      <c r="B196" s="3">
        <v>0.1</v>
      </c>
      <c r="C196" s="3">
        <v>0.12</v>
      </c>
      <c r="D196" s="3">
        <v>0.9</v>
      </c>
      <c r="E196" s="3">
        <v>1.2</v>
      </c>
      <c r="F196" s="3">
        <v>2E-3</v>
      </c>
      <c r="G196" s="3">
        <v>5.0000000000000001E-3</v>
      </c>
      <c r="H196" s="3">
        <v>3.3000000000000002E-2</v>
      </c>
      <c r="I196" s="3">
        <v>0.04</v>
      </c>
      <c r="J196" s="3">
        <v>0.5</v>
      </c>
      <c r="K196" s="3">
        <v>0.75</v>
      </c>
      <c r="L196" s="3">
        <v>6.3</v>
      </c>
      <c r="M196" s="3">
        <v>6.6</v>
      </c>
      <c r="N196" s="3">
        <v>16.8</v>
      </c>
      <c r="O196" s="3">
        <v>17.2</v>
      </c>
      <c r="P196" s="3">
        <v>0.2</v>
      </c>
      <c r="Q196" s="3">
        <v>0.44</v>
      </c>
      <c r="R196" s="3">
        <v>0.08</v>
      </c>
      <c r="S196" s="3">
        <v>0.3</v>
      </c>
      <c r="T196" s="3">
        <v>1E-3</v>
      </c>
      <c r="U196" s="3">
        <v>2E-3</v>
      </c>
      <c r="V196" s="3">
        <v>0</v>
      </c>
      <c r="W196" s="3">
        <v>6.4000000000000001E-2</v>
      </c>
      <c r="X196" s="3">
        <v>0</v>
      </c>
      <c r="Y196" s="3">
        <v>7</v>
      </c>
      <c r="Z196" s="3">
        <v>1.6500000000000001E-2</v>
      </c>
      <c r="AA196" s="3">
        <v>0.03</v>
      </c>
      <c r="AB196" s="3">
        <v>4.0000000000000001E-3</v>
      </c>
      <c r="AC196" s="3">
        <v>5.4999999999999997E-3</v>
      </c>
      <c r="AD196" s="3">
        <v>5.0000000000000001E-3</v>
      </c>
      <c r="AE196" s="3">
        <v>9.4999999999999998E-3</v>
      </c>
      <c r="AF196" s="3">
        <v>2.5000000000000001E-3</v>
      </c>
      <c r="AG196" s="3">
        <v>5.0000000000000001E-3</v>
      </c>
      <c r="AH196" s="3">
        <v>5.0000000000000001E-4</v>
      </c>
      <c r="AI196" s="3">
        <v>1.9E-3</v>
      </c>
      <c r="AJ196" s="3">
        <v>4.0000000000000002E-4</v>
      </c>
      <c r="AK196" s="3">
        <v>5.9999999999999995E-4</v>
      </c>
      <c r="AL196" s="3">
        <v>0.16</v>
      </c>
      <c r="AM196" s="3">
        <v>0.19</v>
      </c>
      <c r="AN196" s="3">
        <v>0</v>
      </c>
      <c r="AO196" s="3">
        <v>6.0000000000000001E-3</v>
      </c>
      <c r="AP196" t="str">
        <f t="shared" si="3"/>
        <v>('301', 0.1, 0.12, 0.9, 1.2, 0.002, 0.005, 0.033, 0.04, 0.5, 0.75, 6.3, 6.6, 16.8, 17.2, 0.2, 0.44, 0.08, 0.3, 0.001, 0.002, 0, 0.064, 0, 7, 0.0165, 0.03, 0.004, 0.0055, 0.005, 0.0095, 0.0025, 0.005, 0.0005, 0.0019, 0.0004, 0.0006, 0.16, 0.19, 0, 0.006),</v>
      </c>
    </row>
    <row r="197" spans="1:42" x14ac:dyDescent="0.2">
      <c r="A197" s="4" t="s">
        <v>222</v>
      </c>
      <c r="B197" s="4">
        <v>0</v>
      </c>
      <c r="C197" s="4">
        <v>0</v>
      </c>
      <c r="D197" s="4">
        <v>0</v>
      </c>
      <c r="E197" s="4">
        <v>0</v>
      </c>
      <c r="F197" s="4">
        <v>0</v>
      </c>
      <c r="G197" s="4">
        <v>0</v>
      </c>
      <c r="H197" s="4">
        <v>0</v>
      </c>
      <c r="I197" s="4">
        <v>0</v>
      </c>
      <c r="J197" s="4">
        <v>0</v>
      </c>
      <c r="K197" s="4">
        <v>0</v>
      </c>
      <c r="L197" s="4">
        <v>0</v>
      </c>
      <c r="M197" s="4">
        <v>0</v>
      </c>
      <c r="N197" s="4">
        <v>0</v>
      </c>
      <c r="O197" s="4">
        <v>0</v>
      </c>
      <c r="P197" s="4">
        <v>0</v>
      </c>
      <c r="Q197" s="4">
        <v>0</v>
      </c>
      <c r="R197" s="4">
        <v>0</v>
      </c>
      <c r="S197" s="4">
        <v>0</v>
      </c>
      <c r="T197" s="4">
        <v>0</v>
      </c>
      <c r="U197" s="4">
        <v>0</v>
      </c>
      <c r="V197" s="4">
        <v>0</v>
      </c>
      <c r="W197" s="4">
        <v>0</v>
      </c>
      <c r="X197" s="4">
        <v>0</v>
      </c>
      <c r="Y197" s="4">
        <v>0</v>
      </c>
      <c r="Z197" s="4">
        <v>0</v>
      </c>
      <c r="AA197" s="4">
        <v>0</v>
      </c>
      <c r="AB197" s="4">
        <v>0</v>
      </c>
      <c r="AC197" s="4">
        <v>0</v>
      </c>
      <c r="AD197" s="4">
        <v>0</v>
      </c>
      <c r="AE197" s="4">
        <v>0</v>
      </c>
      <c r="AF197" s="4">
        <v>0</v>
      </c>
      <c r="AG197" s="4">
        <v>0</v>
      </c>
      <c r="AH197" s="4">
        <v>0</v>
      </c>
      <c r="AI197" s="4">
        <v>0</v>
      </c>
      <c r="AJ197" s="4">
        <v>0</v>
      </c>
      <c r="AK197" s="4">
        <v>0</v>
      </c>
      <c r="AL197" s="4">
        <v>0</v>
      </c>
      <c r="AM197" s="4">
        <v>0</v>
      </c>
      <c r="AN197" s="4">
        <v>0</v>
      </c>
      <c r="AO197" s="4">
        <v>0</v>
      </c>
      <c r="AP197" t="str">
        <f t="shared" si="3"/>
        <v>('EN100252 S235JRAR', 0, 0, 0, 0, 0, 0, 0, 0, 0, 0, 0, 0, 0, 0, 0, 0, 0, 0, 0, 0, 0, 0, 0, 0, 0, 0, 0, 0, 0, 0, 0, 0, 0, 0, 0, 0, 0, 0, 0, 0),</v>
      </c>
    </row>
    <row r="198" spans="1:42" x14ac:dyDescent="0.2">
      <c r="A198" s="3" t="s">
        <v>223</v>
      </c>
      <c r="B198" s="3">
        <v>0</v>
      </c>
      <c r="C198" s="3">
        <v>0</v>
      </c>
      <c r="D198" s="3">
        <v>0</v>
      </c>
      <c r="E198" s="3">
        <v>0</v>
      </c>
      <c r="F198" s="3">
        <v>0</v>
      </c>
      <c r="G198" s="3">
        <v>0</v>
      </c>
      <c r="H198" s="3">
        <v>0</v>
      </c>
      <c r="I198" s="3">
        <v>0</v>
      </c>
      <c r="J198" s="3">
        <v>0</v>
      </c>
      <c r="K198" s="3">
        <v>0</v>
      </c>
      <c r="L198" s="3">
        <v>0</v>
      </c>
      <c r="M198" s="3">
        <v>0</v>
      </c>
      <c r="N198" s="3">
        <v>0</v>
      </c>
      <c r="O198" s="3">
        <v>0</v>
      </c>
      <c r="P198" s="3">
        <v>0</v>
      </c>
      <c r="Q198" s="3">
        <v>0</v>
      </c>
      <c r="R198" s="3">
        <v>0</v>
      </c>
      <c r="S198" s="3">
        <v>0</v>
      </c>
      <c r="T198" s="3">
        <v>0</v>
      </c>
      <c r="U198" s="3">
        <v>0</v>
      </c>
      <c r="V198" s="3">
        <v>0</v>
      </c>
      <c r="W198" s="3">
        <v>0</v>
      </c>
      <c r="X198" s="3">
        <v>0</v>
      </c>
      <c r="Y198" s="3">
        <v>0</v>
      </c>
      <c r="Z198" s="3">
        <v>0</v>
      </c>
      <c r="AA198" s="3">
        <v>0</v>
      </c>
      <c r="AB198" s="3">
        <v>0</v>
      </c>
      <c r="AC198" s="3">
        <v>0</v>
      </c>
      <c r="AD198" s="3">
        <v>0</v>
      </c>
      <c r="AE198" s="3">
        <v>0</v>
      </c>
      <c r="AF198" s="3">
        <v>0</v>
      </c>
      <c r="AG198" s="3">
        <v>0</v>
      </c>
      <c r="AH198" s="3">
        <v>0</v>
      </c>
      <c r="AI198" s="3">
        <v>0</v>
      </c>
      <c r="AJ198" s="3">
        <v>0</v>
      </c>
      <c r="AK198" s="3">
        <v>0</v>
      </c>
      <c r="AL198" s="3">
        <v>0</v>
      </c>
      <c r="AM198" s="3">
        <v>0</v>
      </c>
      <c r="AN198" s="3">
        <v>0</v>
      </c>
      <c r="AO198" s="3">
        <v>0</v>
      </c>
      <c r="AP198" t="str">
        <f t="shared" si="3"/>
        <v>('C06', 0, 0, 0, 0, 0, 0, 0, 0, 0, 0, 0, 0, 0, 0, 0, 0, 0, 0, 0, 0, 0, 0, 0, 0, 0, 0, 0, 0, 0, 0, 0, 0, 0, 0, 0, 0, 0, 0, 0, 0),</v>
      </c>
    </row>
    <row r="199" spans="1:42" x14ac:dyDescent="0.2">
      <c r="A199" s="4" t="s">
        <v>224</v>
      </c>
      <c r="B199" s="4">
        <v>8.9999999999999993E-3</v>
      </c>
      <c r="C199" s="4">
        <v>0.11899999999999999</v>
      </c>
      <c r="D199" s="4">
        <v>0.33</v>
      </c>
      <c r="E199" s="4">
        <v>1.9</v>
      </c>
      <c r="F199" s="4">
        <v>1E-3</v>
      </c>
      <c r="G199" s="4">
        <v>8.0000000000000002E-3</v>
      </c>
      <c r="H199" s="4">
        <v>2.1999999999999999E-2</v>
      </c>
      <c r="I199" s="4">
        <v>4.4999999999999998E-2</v>
      </c>
      <c r="J199" s="4">
        <v>0.18</v>
      </c>
      <c r="K199" s="4">
        <v>0.69</v>
      </c>
      <c r="L199" s="4">
        <v>6.31</v>
      </c>
      <c r="M199" s="4">
        <v>19.18</v>
      </c>
      <c r="N199" s="4">
        <v>16.03</v>
      </c>
      <c r="O199" s="4">
        <v>25.55</v>
      </c>
      <c r="P199" s="4">
        <v>0.01</v>
      </c>
      <c r="Q199" s="4">
        <v>0.7</v>
      </c>
      <c r="R199" s="4">
        <v>0.01</v>
      </c>
      <c r="S199" s="4">
        <v>2.15</v>
      </c>
      <c r="T199" s="4">
        <v>1E-3</v>
      </c>
      <c r="U199" s="4">
        <v>0.23</v>
      </c>
      <c r="V199" s="4">
        <v>7.1000000000000004E-3</v>
      </c>
      <c r="W199" s="4">
        <v>0.13100000000000001</v>
      </c>
      <c r="X199" s="4">
        <v>0</v>
      </c>
      <c r="Y199" s="4">
        <v>7.6</v>
      </c>
      <c r="Z199" s="4">
        <v>1.03E-2</v>
      </c>
      <c r="AA199" s="4">
        <v>0.14249999999999999</v>
      </c>
      <c r="AB199" s="4">
        <v>1.5E-3</v>
      </c>
      <c r="AC199" s="4">
        <v>8.0000000000000002E-3</v>
      </c>
      <c r="AD199" s="4">
        <v>1E-3</v>
      </c>
      <c r="AE199" s="4">
        <v>2.5000000000000001E-2</v>
      </c>
      <c r="AF199" s="4">
        <v>1E-3</v>
      </c>
      <c r="AG199" s="4">
        <v>6.5000000000000002E-2</v>
      </c>
      <c r="AH199" s="4">
        <v>2.0000000000000001E-4</v>
      </c>
      <c r="AI199" s="4">
        <v>3.5999999999999999E-3</v>
      </c>
      <c r="AJ199" s="4">
        <v>1E-4</v>
      </c>
      <c r="AK199" s="4">
        <v>4.1999999999999997E-3</v>
      </c>
      <c r="AL199" s="4">
        <v>0.15</v>
      </c>
      <c r="AM199" s="4">
        <v>0.42</v>
      </c>
      <c r="AN199" s="4">
        <v>1E-3</v>
      </c>
      <c r="AO199" s="4">
        <v>0.185</v>
      </c>
      <c r="AP199" t="str">
        <f t="shared" si="3"/>
        <v>('316LCR17', 0.009, 0.119, 0.33, 1.9, 0.001, 0.008, 0.022, 0.045, 0.18, 0.69, 6.31, 19.18, 16.03, 25.55, 0.01, 0.7, 0.01, 2.15, 0.001, 0.23, 0.0071, 0.131, 0, 7.6, 0.0103, 0.1425, 0.0015, 0.008, 0.001, 0.025, 0.001, 0.065, 0.0002, 0.0036, 0.0001, 0.0042, 0.15, 0.42, 0.001, 0.185),</v>
      </c>
    </row>
    <row r="200" spans="1:42" x14ac:dyDescent="0.2">
      <c r="A200" s="3" t="s">
        <v>225</v>
      </c>
      <c r="B200" s="3">
        <v>0.106</v>
      </c>
      <c r="C200" s="3">
        <v>0.13</v>
      </c>
      <c r="D200" s="3">
        <v>9.6999999999999993</v>
      </c>
      <c r="E200" s="3">
        <v>10.3</v>
      </c>
      <c r="F200" s="3">
        <v>1E-3</v>
      </c>
      <c r="G200" s="3">
        <v>6.0000000000000001E-3</v>
      </c>
      <c r="H200" s="3">
        <v>5.5E-2</v>
      </c>
      <c r="I200" s="3">
        <v>9.9000000000000005E-2</v>
      </c>
      <c r="J200" s="3">
        <v>0.35</v>
      </c>
      <c r="K200" s="3">
        <v>0.7</v>
      </c>
      <c r="L200" s="3">
        <v>0.4</v>
      </c>
      <c r="M200" s="3">
        <v>0.6</v>
      </c>
      <c r="N200" s="3">
        <v>14.6</v>
      </c>
      <c r="O200" s="3">
        <v>15.01</v>
      </c>
      <c r="P200" s="3">
        <v>1.1499999999999999</v>
      </c>
      <c r="Q200" s="3">
        <v>1.28</v>
      </c>
      <c r="R200" s="3">
        <v>0.01</v>
      </c>
      <c r="S200" s="3">
        <v>0.16</v>
      </c>
      <c r="T200" s="3">
        <v>0</v>
      </c>
      <c r="U200" s="3">
        <v>0</v>
      </c>
      <c r="V200" s="3">
        <v>0</v>
      </c>
      <c r="W200" s="3">
        <v>0</v>
      </c>
      <c r="X200" s="3">
        <v>4</v>
      </c>
      <c r="Y200" s="3">
        <v>7.7</v>
      </c>
      <c r="Z200" s="3">
        <v>0.14000000000000001</v>
      </c>
      <c r="AA200" s="3">
        <v>0.189</v>
      </c>
      <c r="AB200" s="3">
        <v>3.5999999999999999E-3</v>
      </c>
      <c r="AC200" s="3">
        <v>1.0699999999999999E-2</v>
      </c>
      <c r="AD200" s="3">
        <v>2.7000000000000001E-3</v>
      </c>
      <c r="AE200" s="3">
        <v>1.52E-2</v>
      </c>
      <c r="AF200" s="3">
        <v>0</v>
      </c>
      <c r="AG200" s="3">
        <v>0</v>
      </c>
      <c r="AH200" s="3">
        <v>0</v>
      </c>
      <c r="AI200" s="3">
        <v>0</v>
      </c>
      <c r="AJ200" s="3">
        <v>1E-3</v>
      </c>
      <c r="AK200" s="3">
        <v>3.5999999999999999E-3</v>
      </c>
      <c r="AL200" s="3">
        <v>0</v>
      </c>
      <c r="AM200" s="3">
        <v>0</v>
      </c>
      <c r="AN200" s="3">
        <v>0</v>
      </c>
      <c r="AO200" s="3">
        <v>0</v>
      </c>
      <c r="AP200" t="str">
        <f t="shared" si="3"/>
        <v>('JSLUSD', 0.106, 0.13, 9.7, 10.3, 0.001, 0.006, 0.055, 0.099, 0.35, 0.7, 0.4, 0.6, 14.6, 15.01, 1.15, 1.28, 0.01, 0.16, 0, 0, 0, 0, 4, 7.7, 0.14, 0.189, 0.0036, 0.0107, 0.0027, 0.0152, 0, 0, 0, 0, 0.001, 0.0036, 0, 0, 0, 0),</v>
      </c>
    </row>
    <row r="201" spans="1:42" x14ac:dyDescent="0.2">
      <c r="A201" s="4" t="s">
        <v>226</v>
      </c>
      <c r="B201" s="4">
        <v>0.1</v>
      </c>
      <c r="C201" s="4">
        <v>0.12</v>
      </c>
      <c r="D201" s="4">
        <v>9.4</v>
      </c>
      <c r="E201" s="4">
        <v>9.6</v>
      </c>
      <c r="F201" s="4">
        <v>0</v>
      </c>
      <c r="G201" s="4">
        <v>0.01</v>
      </c>
      <c r="H201" s="4">
        <v>0.05</v>
      </c>
      <c r="I201" s="4">
        <v>0.08</v>
      </c>
      <c r="J201" s="4">
        <v>0.3</v>
      </c>
      <c r="K201" s="4">
        <v>0.6</v>
      </c>
      <c r="L201" s="4">
        <v>1.01</v>
      </c>
      <c r="M201" s="4">
        <v>1.2</v>
      </c>
      <c r="N201" s="4">
        <v>15.5</v>
      </c>
      <c r="O201" s="4">
        <v>15.9</v>
      </c>
      <c r="P201" s="4">
        <v>1.75</v>
      </c>
      <c r="Q201" s="4">
        <v>1.85</v>
      </c>
      <c r="R201" s="4">
        <v>0.04</v>
      </c>
      <c r="S201" s="4">
        <v>0.11</v>
      </c>
      <c r="T201" s="4">
        <v>0</v>
      </c>
      <c r="U201" s="4">
        <v>0.01</v>
      </c>
      <c r="V201" s="4">
        <v>0</v>
      </c>
      <c r="W201" s="4">
        <v>0.06</v>
      </c>
      <c r="X201" s="4">
        <v>0</v>
      </c>
      <c r="Y201" s="4">
        <v>7.5</v>
      </c>
      <c r="Z201" s="4">
        <v>0.14000000000000001</v>
      </c>
      <c r="AA201" s="4">
        <v>0.17</v>
      </c>
      <c r="AB201" s="4">
        <v>2E-3</v>
      </c>
      <c r="AC201" s="4">
        <v>8.0000000000000002E-3</v>
      </c>
      <c r="AD201" s="4">
        <v>4.0000000000000001E-3</v>
      </c>
      <c r="AE201" s="4">
        <v>1.4999999999999999E-2</v>
      </c>
      <c r="AF201" s="4">
        <v>2E-3</v>
      </c>
      <c r="AG201" s="4">
        <v>7.0000000000000001E-3</v>
      </c>
      <c r="AH201" s="4">
        <v>1E-4</v>
      </c>
      <c r="AI201" s="4">
        <v>1.5E-3</v>
      </c>
      <c r="AJ201" s="4">
        <v>1E-3</v>
      </c>
      <c r="AK201" s="4">
        <v>4.1000000000000003E-3</v>
      </c>
      <c r="AL201" s="4">
        <v>0.05</v>
      </c>
      <c r="AM201" s="4">
        <v>0.08</v>
      </c>
      <c r="AN201" s="4">
        <v>0</v>
      </c>
      <c r="AO201" s="4">
        <v>0.02</v>
      </c>
      <c r="AP201" t="str">
        <f t="shared" si="3"/>
        <v>('JSLUDD', 0.1, 0.12, 9.4, 9.6, 0, 0.01, 0.05, 0.08, 0.3, 0.6, 1.01, 1.2, 15.5, 15.9, 1.75, 1.85, 0.04, 0.11, 0, 0.01, 0, 0.06, 0, 7.5, 0.14, 0.17, 0.002, 0.008, 0.004, 0.015, 0.002, 0.007, 0.0001, 0.0015, 0.001, 0.0041, 0.05, 0.08, 0, 0.02),</v>
      </c>
    </row>
    <row r="202" spans="1:42" x14ac:dyDescent="0.2">
      <c r="A202" s="3" t="s">
        <v>227</v>
      </c>
      <c r="B202" s="3">
        <v>1.0999999999999999E-2</v>
      </c>
      <c r="C202" s="3">
        <v>1.4999999999999999E-2</v>
      </c>
      <c r="D202" s="3">
        <v>0.9</v>
      </c>
      <c r="E202" s="3">
        <v>1.1000000000000001</v>
      </c>
      <c r="F202" s="3">
        <v>2E-3</v>
      </c>
      <c r="G202" s="3">
        <v>3.0000000000000001E-3</v>
      </c>
      <c r="H202" s="3">
        <v>0.02</v>
      </c>
      <c r="I202" s="3">
        <v>0.04</v>
      </c>
      <c r="J202" s="3">
        <v>0.3</v>
      </c>
      <c r="K202" s="3">
        <v>0.45</v>
      </c>
      <c r="L202" s="3">
        <v>8.0299999999999994</v>
      </c>
      <c r="M202" s="3">
        <v>0.08</v>
      </c>
      <c r="N202" s="3">
        <v>18.05</v>
      </c>
      <c r="O202" s="3">
        <v>18.25</v>
      </c>
      <c r="P202" s="3">
        <v>0.3</v>
      </c>
      <c r="Q202" s="3">
        <v>0.5</v>
      </c>
      <c r="R202" s="3">
        <v>0.19</v>
      </c>
      <c r="S202" s="3">
        <v>0.3</v>
      </c>
      <c r="T202" s="3">
        <v>2E-3</v>
      </c>
      <c r="U202" s="3">
        <v>3.0000000000000001E-3</v>
      </c>
      <c r="V202" s="3">
        <v>0</v>
      </c>
      <c r="W202" s="3">
        <v>0.09</v>
      </c>
      <c r="X202" s="3">
        <v>0</v>
      </c>
      <c r="Y202" s="3">
        <v>7</v>
      </c>
      <c r="Z202" s="3">
        <v>0.125</v>
      </c>
      <c r="AA202" s="3">
        <v>0.14499999999999999</v>
      </c>
      <c r="AB202" s="3">
        <v>4.7000000000000002E-3</v>
      </c>
      <c r="AC202" s="3">
        <v>0.01</v>
      </c>
      <c r="AD202" s="3">
        <v>0.01</v>
      </c>
      <c r="AE202" s="3">
        <v>0.03</v>
      </c>
      <c r="AF202" s="3">
        <v>5.0000000000000001E-3</v>
      </c>
      <c r="AG202" s="3">
        <v>6.0000000000000001E-3</v>
      </c>
      <c r="AH202" s="3">
        <v>1E-3</v>
      </c>
      <c r="AI202" s="3">
        <v>2E-3</v>
      </c>
      <c r="AJ202" s="3">
        <v>1E-3</v>
      </c>
      <c r="AK202" s="3">
        <v>1E-3</v>
      </c>
      <c r="AL202" s="3">
        <v>0.16</v>
      </c>
      <c r="AM202" s="3">
        <v>0.19</v>
      </c>
      <c r="AN202" s="3">
        <v>0</v>
      </c>
      <c r="AO202" s="3">
        <v>8.0000000000000002E-3</v>
      </c>
      <c r="AP202" t="str">
        <f t="shared" si="3"/>
        <v>('304N', 0.011, 0.015, 0.9, 1.1, 0.002, 0.003, 0.02, 0.04, 0.3, 0.45, 8.03, 0.08, 18.05, 18.25, 0.3, 0.5, 0.19, 0.3, 0.002, 0.003, 0, 0.09, 0, 7, 0.125, 0.145, 0.0047, 0.01, 0.01, 0.03, 0.005, 0.006, 0.001, 0.002, 0.001, 0.001, 0.16, 0.19, 0, 0.008),</v>
      </c>
    </row>
    <row r="203" spans="1:42" x14ac:dyDescent="0.2">
      <c r="A203" s="4">
        <v>446</v>
      </c>
      <c r="B203" s="4">
        <v>7.0000000000000001E-3</v>
      </c>
      <c r="C203" s="4">
        <v>1.4E-2</v>
      </c>
      <c r="D203" s="4">
        <v>0.2</v>
      </c>
      <c r="E203" s="4">
        <v>0.5</v>
      </c>
      <c r="F203" s="4">
        <v>1E-3</v>
      </c>
      <c r="G203" s="4">
        <v>3.0000000000000001E-3</v>
      </c>
      <c r="H203" s="4">
        <v>2.9000000000000001E-2</v>
      </c>
      <c r="I203" s="4">
        <v>0.04</v>
      </c>
      <c r="J203" s="4">
        <v>0.26</v>
      </c>
      <c r="K203" s="4">
        <v>0.46</v>
      </c>
      <c r="L203" s="4">
        <v>0.13</v>
      </c>
      <c r="M203" s="4">
        <v>0.31</v>
      </c>
      <c r="N203" s="4">
        <v>17.55</v>
      </c>
      <c r="O203" s="4">
        <v>18.5</v>
      </c>
      <c r="P203" s="4">
        <v>0.02</v>
      </c>
      <c r="Q203" s="4">
        <v>0.2</v>
      </c>
      <c r="R203" s="4">
        <v>0.01</v>
      </c>
      <c r="S203" s="4">
        <v>0.06</v>
      </c>
      <c r="T203" s="4">
        <v>0.11</v>
      </c>
      <c r="U203" s="4">
        <v>0.25</v>
      </c>
      <c r="V203" s="4">
        <v>3.4000000000000002E-2</v>
      </c>
      <c r="W203" s="4">
        <v>7.0000000000000007E-2</v>
      </c>
      <c r="X203" s="4">
        <v>0</v>
      </c>
      <c r="Y203" s="4">
        <v>4.3</v>
      </c>
      <c r="Z203" s="4">
        <v>3.0000000000000001E-3</v>
      </c>
      <c r="AA203" s="4">
        <v>1.5599999999999999E-2</v>
      </c>
      <c r="AB203" s="4">
        <v>3.0000000000000001E-3</v>
      </c>
      <c r="AC203" s="4">
        <v>7.0000000000000001E-3</v>
      </c>
      <c r="AD203" s="4">
        <v>3.3999999999999998E-3</v>
      </c>
      <c r="AE203" s="4">
        <v>1.89E-2</v>
      </c>
      <c r="AF203" s="4">
        <v>0.01</v>
      </c>
      <c r="AG203" s="4">
        <v>0.05</v>
      </c>
      <c r="AH203" s="4">
        <v>2.9999999999999997E-4</v>
      </c>
      <c r="AI203" s="4">
        <v>1.8E-3</v>
      </c>
      <c r="AJ203" s="4">
        <v>2.0000000000000001E-4</v>
      </c>
      <c r="AK203" s="4">
        <v>8.0000000000000004E-4</v>
      </c>
      <c r="AL203" s="4">
        <v>0.04</v>
      </c>
      <c r="AM203" s="4">
        <v>0.06</v>
      </c>
      <c r="AN203" s="4">
        <v>0.33</v>
      </c>
      <c r="AO203" s="4">
        <v>0.5</v>
      </c>
      <c r="AP203" t="str">
        <f t="shared" si="3"/>
        <v>('446', 0.007, 0.014, 0.2, 0.5, 0.001, 0.003, 0.029, 0.04, 0.26, 0.46, 0.13, 0.31, 17.55, 18.5, 0.02, 0.2, 0.01, 0.06, 0.11, 0.25, 0.034, 0.07, 0, 4.3, 0.003, 0.0156, 0.003, 0.007, 0.0034, 0.0189, 0.01, 0.05, 0.0003, 0.0018, 0.0002, 0.0008, 0.04, 0.06, 0.33, 0.5),</v>
      </c>
    </row>
    <row r="204" spans="1:42" x14ac:dyDescent="0.2">
      <c r="A204" s="3" t="s">
        <v>228</v>
      </c>
      <c r="B204" s="3">
        <v>2.8000000000000001E-2</v>
      </c>
      <c r="C204" s="3">
        <v>3.7999999999999999E-2</v>
      </c>
      <c r="D204" s="3">
        <v>0.11</v>
      </c>
      <c r="E204" s="3">
        <v>0.35</v>
      </c>
      <c r="F204" s="3">
        <v>1E-3</v>
      </c>
      <c r="G204" s="3">
        <v>5.0000000000000001E-3</v>
      </c>
      <c r="H204" s="3">
        <v>1.0999999999999999E-2</v>
      </c>
      <c r="I204" s="3">
        <v>3.9E-2</v>
      </c>
      <c r="J204" s="3">
        <v>0.2</v>
      </c>
      <c r="K204" s="3">
        <v>0.3</v>
      </c>
      <c r="L204" s="3">
        <v>0.05</v>
      </c>
      <c r="M204" s="3">
        <v>0.3</v>
      </c>
      <c r="N204" s="3">
        <v>16.100000000000001</v>
      </c>
      <c r="O204" s="3">
        <v>16.3</v>
      </c>
      <c r="P204" s="3">
        <v>0.03</v>
      </c>
      <c r="Q204" s="3">
        <v>0.2</v>
      </c>
      <c r="R204" s="3">
        <v>0.01</v>
      </c>
      <c r="S204" s="3">
        <v>0.03</v>
      </c>
      <c r="T204" s="3">
        <v>1E-3</v>
      </c>
      <c r="U204" s="3">
        <v>3.0000000000000001E-3</v>
      </c>
      <c r="V204" s="3">
        <v>7.4999999999999997E-2</v>
      </c>
      <c r="W204" s="3">
        <v>0.1</v>
      </c>
      <c r="X204" s="3">
        <v>0</v>
      </c>
      <c r="Y204" s="3">
        <v>0</v>
      </c>
      <c r="Z204" s="3">
        <v>0.03</v>
      </c>
      <c r="AA204" s="3">
        <v>4.4999999999999998E-2</v>
      </c>
      <c r="AB204" s="3">
        <v>1E-3</v>
      </c>
      <c r="AC204" s="3">
        <v>0.01</v>
      </c>
      <c r="AD204" s="3">
        <v>6.0000000000000001E-3</v>
      </c>
      <c r="AE204" s="3">
        <v>3.5000000000000003E-2</v>
      </c>
      <c r="AF204" s="3">
        <v>3.0000000000000001E-3</v>
      </c>
      <c r="AG204" s="3">
        <v>0.01</v>
      </c>
      <c r="AH204" s="3">
        <v>2.0000000000000001E-4</v>
      </c>
      <c r="AI204" s="3">
        <v>1.5E-3</v>
      </c>
      <c r="AJ204" s="3">
        <v>2.0000000000000001E-4</v>
      </c>
      <c r="AK204" s="3">
        <v>6.9999999999999999E-4</v>
      </c>
      <c r="AL204" s="3">
        <v>0.01</v>
      </c>
      <c r="AM204" s="3">
        <v>0.1</v>
      </c>
      <c r="AN204" s="3">
        <v>2E-3</v>
      </c>
      <c r="AO204" s="3">
        <v>0.01</v>
      </c>
      <c r="AP204" t="str">
        <f>"('"&amp;A204&amp;"', "&amp;_xlfn.TEXTJOIN(", ", TRUE, B204:AO204)&amp;");"</f>
        <v>('430WG', 0.028, 0.038, 0.11, 0.35, 0.001, 0.005, 0.011, 0.039, 0.2, 0.3, 0.05, 0.3, 16.1, 16.3, 0.03, 0.2, 0.01, 0.03, 0.001, 0.003, 0.075, 0.1, 0, 0, 0.03, 0.045, 0.001, 0.01, 0.006, 0.035, 0.003, 0.01, 0.0002, 0.0015, 0.0002, 0.0007, 0.01, 0.1, 0.002, 0.01);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
  <sheetViews>
    <sheetView workbookViewId="0">
      <selection activeCell="D18" sqref="D18"/>
    </sheetView>
  </sheetViews>
  <sheetFormatPr baseColWidth="10" defaultColWidth="8.83203125" defaultRowHeight="15" x14ac:dyDescent="0.2"/>
  <cols>
    <col min="1" max="1" width="21.5" bestFit="1" customWidth="1"/>
    <col min="2" max="2" width="36" bestFit="1" customWidth="1"/>
    <col min="3" max="3" width="25.83203125" bestFit="1" customWidth="1"/>
    <col min="4" max="4" width="22" bestFit="1" customWidth="1"/>
    <col min="5" max="5" width="25.83203125" bestFit="1" customWidth="1"/>
    <col min="6" max="6" width="22" bestFit="1" customWidth="1"/>
    <col min="7" max="7" width="25.83203125" bestFit="1" customWidth="1"/>
    <col min="8" max="8" width="22" bestFit="1" customWidth="1"/>
    <col min="9" max="9" width="13.83203125" bestFit="1" customWidth="1"/>
    <col min="10" max="10" width="25.83203125" bestFit="1" customWidth="1"/>
  </cols>
  <sheetData>
    <row r="1" spans="1:10" ht="21" x14ac:dyDescent="0.2">
      <c r="A1" s="27" t="s">
        <v>230</v>
      </c>
      <c r="B1" s="27"/>
      <c r="C1" s="27"/>
      <c r="D1" s="27"/>
      <c r="E1" s="27"/>
      <c r="F1" s="27"/>
      <c r="G1" s="27"/>
      <c r="H1" s="27"/>
      <c r="I1" s="27"/>
      <c r="J1" s="27"/>
    </row>
    <row r="2" spans="1:10" ht="24" x14ac:dyDescent="0.3">
      <c r="A2" s="7" t="s">
        <v>231</v>
      </c>
      <c r="B2" s="8" t="s">
        <v>232</v>
      </c>
      <c r="C2" s="9" t="s">
        <v>233</v>
      </c>
      <c r="D2" s="10" t="s">
        <v>234</v>
      </c>
      <c r="E2" s="9" t="s">
        <v>235</v>
      </c>
      <c r="F2" s="10" t="s">
        <v>236</v>
      </c>
      <c r="G2" s="9" t="s">
        <v>237</v>
      </c>
      <c r="H2" s="10" t="s">
        <v>238</v>
      </c>
      <c r="I2" s="9" t="s">
        <v>145</v>
      </c>
      <c r="J2" s="9" t="s">
        <v>239</v>
      </c>
    </row>
    <row r="3" spans="1:10" x14ac:dyDescent="0.2">
      <c r="A3" s="11" t="s">
        <v>240</v>
      </c>
      <c r="B3" s="11"/>
      <c r="C3" s="12"/>
      <c r="D3" s="12"/>
      <c r="E3" s="12"/>
      <c r="F3" s="12"/>
      <c r="G3" s="12"/>
      <c r="H3" s="12"/>
      <c r="I3" s="12"/>
      <c r="J3" s="1"/>
    </row>
    <row r="4" spans="1:10" x14ac:dyDescent="0.2">
      <c r="A4" s="11" t="s">
        <v>241</v>
      </c>
      <c r="B4" s="11"/>
      <c r="C4" s="12"/>
      <c r="D4" s="12"/>
      <c r="E4" s="12"/>
      <c r="F4" s="12"/>
      <c r="G4" s="12"/>
      <c r="H4" s="12"/>
      <c r="I4" s="12"/>
      <c r="J4" s="1"/>
    </row>
    <row r="5" spans="1:10" ht="32" x14ac:dyDescent="0.2">
      <c r="A5" s="11" t="s">
        <v>242</v>
      </c>
      <c r="B5" s="11"/>
      <c r="C5" s="13" t="s">
        <v>243</v>
      </c>
      <c r="D5" s="13" t="s">
        <v>243</v>
      </c>
      <c r="E5" s="13" t="s">
        <v>243</v>
      </c>
      <c r="F5" s="13" t="s">
        <v>243</v>
      </c>
      <c r="G5" s="13" t="s">
        <v>243</v>
      </c>
      <c r="H5" s="13" t="s">
        <v>243</v>
      </c>
      <c r="I5" s="13" t="s">
        <v>243</v>
      </c>
      <c r="J5" s="13" t="s">
        <v>243</v>
      </c>
    </row>
    <row r="6" spans="1:10" ht="32" x14ac:dyDescent="0.2">
      <c r="A6" s="11" t="s">
        <v>244</v>
      </c>
      <c r="B6" s="11"/>
      <c r="C6" s="13" t="s">
        <v>245</v>
      </c>
      <c r="D6" s="13" t="s">
        <v>245</v>
      </c>
      <c r="E6" s="13" t="s">
        <v>245</v>
      </c>
      <c r="F6" s="13" t="s">
        <v>245</v>
      </c>
      <c r="G6" s="13" t="s">
        <v>245</v>
      </c>
      <c r="H6" s="13" t="s">
        <v>245</v>
      </c>
      <c r="I6" s="13" t="s">
        <v>245</v>
      </c>
      <c r="J6" s="13" t="s">
        <v>245</v>
      </c>
    </row>
    <row r="7" spans="1:10" ht="32" x14ac:dyDescent="0.2">
      <c r="A7" s="11" t="s">
        <v>246</v>
      </c>
      <c r="B7" s="11"/>
      <c r="C7" s="12">
        <v>1250</v>
      </c>
      <c r="D7" s="12">
        <v>1240</v>
      </c>
      <c r="E7" s="12">
        <v>1220</v>
      </c>
      <c r="F7" s="12">
        <v>1220</v>
      </c>
      <c r="G7" s="13" t="s">
        <v>247</v>
      </c>
      <c r="H7" s="13" t="s">
        <v>247</v>
      </c>
      <c r="I7" s="12">
        <v>1250</v>
      </c>
      <c r="J7" s="12">
        <v>1250</v>
      </c>
    </row>
    <row r="8" spans="1:10" ht="32" x14ac:dyDescent="0.2">
      <c r="A8" s="11" t="s">
        <v>248</v>
      </c>
      <c r="B8" s="11"/>
      <c r="C8" s="13" t="s">
        <v>249</v>
      </c>
      <c r="D8" s="13" t="s">
        <v>249</v>
      </c>
      <c r="E8" s="13" t="s">
        <v>249</v>
      </c>
      <c r="F8" s="13" t="s">
        <v>249</v>
      </c>
      <c r="G8" s="13" t="s">
        <v>249</v>
      </c>
      <c r="H8" s="13" t="s">
        <v>249</v>
      </c>
      <c r="I8" s="13" t="s">
        <v>249</v>
      </c>
      <c r="J8" s="13" t="s">
        <v>249</v>
      </c>
    </row>
    <row r="9" spans="1:10" ht="32" x14ac:dyDescent="0.2">
      <c r="A9" s="11" t="s">
        <v>250</v>
      </c>
      <c r="B9" s="11"/>
      <c r="C9" s="13" t="s">
        <v>249</v>
      </c>
      <c r="D9" s="13" t="s">
        <v>249</v>
      </c>
      <c r="E9" s="13" t="s">
        <v>249</v>
      </c>
      <c r="F9" s="13" t="s">
        <v>249</v>
      </c>
      <c r="G9" s="13" t="s">
        <v>249</v>
      </c>
      <c r="H9" s="13" t="s">
        <v>249</v>
      </c>
      <c r="I9" s="13" t="s">
        <v>249</v>
      </c>
      <c r="J9" s="13" t="s">
        <v>249</v>
      </c>
    </row>
    <row r="10" spans="1:10" x14ac:dyDescent="0.2">
      <c r="A10" s="11" t="s">
        <v>251</v>
      </c>
      <c r="B10" s="11"/>
      <c r="C10" s="12" t="s">
        <v>252</v>
      </c>
      <c r="D10" s="12" t="s">
        <v>252</v>
      </c>
      <c r="E10" s="12" t="s">
        <v>252</v>
      </c>
      <c r="F10" s="12" t="s">
        <v>252</v>
      </c>
      <c r="G10" s="12" t="s">
        <v>252</v>
      </c>
      <c r="H10" s="12" t="s">
        <v>252</v>
      </c>
      <c r="I10" s="12" t="s">
        <v>252</v>
      </c>
      <c r="J10" s="1"/>
    </row>
    <row r="11" spans="1:10" x14ac:dyDescent="0.2">
      <c r="A11" s="11" t="s">
        <v>253</v>
      </c>
      <c r="B11" s="11" t="s">
        <v>254</v>
      </c>
      <c r="C11" s="12" t="s">
        <v>254</v>
      </c>
      <c r="D11" s="12" t="s">
        <v>255</v>
      </c>
      <c r="E11" s="12" t="s">
        <v>254</v>
      </c>
      <c r="F11" s="12" t="s">
        <v>255</v>
      </c>
      <c r="G11" s="12" t="s">
        <v>254</v>
      </c>
      <c r="H11" s="12" t="s">
        <v>255</v>
      </c>
      <c r="I11" s="12" t="s">
        <v>255</v>
      </c>
      <c r="J11" s="12" t="s">
        <v>254</v>
      </c>
    </row>
    <row r="12" spans="1:10" x14ac:dyDescent="0.2">
      <c r="A12" s="11" t="s">
        <v>256</v>
      </c>
      <c r="B12" s="11" t="s">
        <v>257</v>
      </c>
      <c r="C12" s="12" t="s">
        <v>258</v>
      </c>
      <c r="D12" s="12" t="s">
        <v>259</v>
      </c>
      <c r="E12" s="12" t="s">
        <v>258</v>
      </c>
      <c r="F12" s="12" t="s">
        <v>259</v>
      </c>
      <c r="G12" s="12" t="s">
        <v>258</v>
      </c>
      <c r="H12" s="12" t="s">
        <v>259</v>
      </c>
      <c r="I12" s="12" t="s">
        <v>258</v>
      </c>
      <c r="J12" s="12" t="s">
        <v>258</v>
      </c>
    </row>
    <row r="13" spans="1:10" x14ac:dyDescent="0.2">
      <c r="A13" s="28"/>
      <c r="B13" s="28"/>
      <c r="C13" s="28"/>
      <c r="D13" s="28"/>
      <c r="E13" s="28"/>
      <c r="F13" s="28"/>
      <c r="G13" s="28"/>
      <c r="H13" s="28"/>
      <c r="I13" s="1"/>
      <c r="J13" s="1"/>
    </row>
    <row r="14" spans="1:10" ht="16" x14ac:dyDescent="0.2">
      <c r="A14" s="14" t="s">
        <v>260</v>
      </c>
      <c r="B14" s="11"/>
      <c r="C14" s="12"/>
      <c r="D14" s="12"/>
      <c r="E14" s="12"/>
      <c r="F14" s="12"/>
      <c r="G14" s="12"/>
      <c r="H14" s="12"/>
      <c r="I14" s="12"/>
      <c r="J14" s="1"/>
    </row>
    <row r="15" spans="1:10" ht="16" x14ac:dyDescent="0.2">
      <c r="A15" s="11" t="s">
        <v>242</v>
      </c>
      <c r="B15" s="11"/>
      <c r="C15" s="15">
        <v>29</v>
      </c>
      <c r="D15" s="15">
        <v>35</v>
      </c>
      <c r="E15" s="15">
        <v>29</v>
      </c>
      <c r="F15" s="15">
        <v>35</v>
      </c>
      <c r="G15" s="15">
        <v>29</v>
      </c>
      <c r="H15" s="15">
        <v>35</v>
      </c>
      <c r="I15" s="15">
        <v>30</v>
      </c>
      <c r="J15" s="15">
        <v>29</v>
      </c>
    </row>
    <row r="16" spans="1:10" x14ac:dyDescent="0.2">
      <c r="A16" s="28"/>
      <c r="B16" s="28"/>
      <c r="C16" s="28"/>
      <c r="D16" s="28"/>
      <c r="E16" s="28"/>
      <c r="F16" s="28"/>
      <c r="G16" s="28"/>
      <c r="H16" s="28"/>
      <c r="I16" s="1"/>
      <c r="J16" s="1"/>
    </row>
    <row r="17" spans="1:10" ht="16" x14ac:dyDescent="0.2">
      <c r="A17" s="14" t="s">
        <v>261</v>
      </c>
      <c r="B17" s="11"/>
      <c r="C17" s="12"/>
      <c r="D17" s="12"/>
      <c r="E17" s="12"/>
      <c r="F17" s="12"/>
      <c r="G17" s="12"/>
      <c r="H17" s="12"/>
      <c r="I17" s="12"/>
      <c r="J17" s="1"/>
    </row>
    <row r="18" spans="1:10" ht="16" x14ac:dyDescent="0.2">
      <c r="A18" s="12" t="s">
        <v>242</v>
      </c>
      <c r="B18" s="11"/>
      <c r="C18" s="15">
        <v>5.0999999999999996</v>
      </c>
      <c r="D18" s="15">
        <v>5.0999999999999996</v>
      </c>
      <c r="E18" s="15">
        <v>5.0999999999999996</v>
      </c>
      <c r="F18" s="15">
        <v>5.0999999999999996</v>
      </c>
      <c r="G18" s="15">
        <v>5.0999999999999996</v>
      </c>
      <c r="H18" s="15">
        <v>5.0999999999999996</v>
      </c>
      <c r="I18" s="15">
        <v>3</v>
      </c>
      <c r="J18" s="15">
        <v>5.0999999999999996</v>
      </c>
    </row>
    <row r="19" spans="1:10" ht="16" x14ac:dyDescent="0.2">
      <c r="A19" s="12" t="s">
        <v>262</v>
      </c>
      <c r="B19" s="11"/>
      <c r="C19" s="15">
        <v>6.1</v>
      </c>
      <c r="D19" s="15"/>
      <c r="E19" s="15">
        <v>6.1</v>
      </c>
      <c r="F19" s="15"/>
      <c r="G19" s="15">
        <v>6.1</v>
      </c>
      <c r="H19" s="15"/>
      <c r="I19" s="15">
        <v>3.1</v>
      </c>
      <c r="J19" s="15"/>
    </row>
    <row r="20" spans="1:10" ht="16" x14ac:dyDescent="0.2">
      <c r="A20" s="12" t="s">
        <v>263</v>
      </c>
      <c r="B20" s="11"/>
      <c r="C20" s="15">
        <v>70</v>
      </c>
      <c r="D20" s="15">
        <v>50</v>
      </c>
      <c r="E20" s="15">
        <v>70</v>
      </c>
      <c r="F20" s="15">
        <v>50</v>
      </c>
      <c r="G20" s="15">
        <v>70</v>
      </c>
      <c r="H20" s="15">
        <v>50</v>
      </c>
      <c r="I20" s="15">
        <v>35</v>
      </c>
      <c r="J20" s="15">
        <v>50</v>
      </c>
    </row>
    <row r="21" spans="1:10" ht="16" x14ac:dyDescent="0.2">
      <c r="A21" s="12" t="s">
        <v>264</v>
      </c>
      <c r="B21" s="11"/>
      <c r="C21" s="15">
        <v>9</v>
      </c>
      <c r="D21" s="15">
        <v>9</v>
      </c>
      <c r="E21" s="15">
        <v>9</v>
      </c>
      <c r="F21" s="15">
        <v>9</v>
      </c>
      <c r="G21" s="15">
        <v>10</v>
      </c>
      <c r="H21" s="15">
        <v>10</v>
      </c>
      <c r="I21" s="15">
        <v>9</v>
      </c>
      <c r="J21" s="15">
        <v>0</v>
      </c>
    </row>
  </sheetData>
  <mergeCells count="3">
    <mergeCell ref="A1:J1"/>
    <mergeCell ref="A13:H13"/>
    <mergeCell ref="A16:H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5"/>
  <sheetViews>
    <sheetView workbookViewId="0">
      <selection activeCell="H28" sqref="H28"/>
    </sheetView>
  </sheetViews>
  <sheetFormatPr baseColWidth="10" defaultColWidth="8.83203125" defaultRowHeight="15" x14ac:dyDescent="0.2"/>
  <cols>
    <col min="1" max="1" width="7.5" bestFit="1" customWidth="1"/>
    <col min="2" max="2" width="29.6640625" customWidth="1"/>
    <col min="3" max="3" width="27.83203125" customWidth="1"/>
    <col min="4" max="4" width="27.33203125" customWidth="1"/>
    <col min="5" max="5" width="29.6640625" customWidth="1"/>
    <col min="6" max="6" width="51.83203125" bestFit="1" customWidth="1"/>
  </cols>
  <sheetData>
    <row r="1" spans="1:6" x14ac:dyDescent="0.2">
      <c r="A1" s="24" t="s">
        <v>265</v>
      </c>
      <c r="B1" s="25" t="s">
        <v>266</v>
      </c>
      <c r="C1" s="25" t="s">
        <v>267</v>
      </c>
      <c r="D1" s="25" t="s">
        <v>268</v>
      </c>
      <c r="E1" s="26" t="s">
        <v>269</v>
      </c>
    </row>
    <row r="2" spans="1:6" x14ac:dyDescent="0.2">
      <c r="A2" s="20">
        <v>1</v>
      </c>
      <c r="B2" s="16" t="s">
        <v>139</v>
      </c>
      <c r="C2" s="16" t="s">
        <v>487</v>
      </c>
      <c r="D2" s="16" t="s">
        <v>488</v>
      </c>
      <c r="E2" s="21">
        <v>300</v>
      </c>
      <c r="F2" t="str">
        <f>"("&amp;A2&amp;", '"&amp;B2&amp;"', '"&amp;C2&amp;"', '"&amp;D2&amp;"', "&amp;E2&amp;"),"</f>
        <v>(1, '304L CO&lt;0.025%', '304L Co &lt; 0.025%', 'A0425', 300),</v>
      </c>
    </row>
    <row r="3" spans="1:6" x14ac:dyDescent="0.2">
      <c r="A3" s="22">
        <v>2</v>
      </c>
      <c r="B3" s="17" t="s">
        <v>180</v>
      </c>
      <c r="C3" s="17" t="s">
        <v>485</v>
      </c>
      <c r="D3" s="17" t="s">
        <v>486</v>
      </c>
      <c r="E3" s="23">
        <v>200</v>
      </c>
      <c r="F3" t="str">
        <f t="shared" ref="F3:F66" si="0">"("&amp;A3&amp;", '"&amp;B3&amp;"', '"&amp;C3&amp;"', '"&amp;D3&amp;"', "&amp;E3&amp;"),"</f>
        <v>(2, 'JSLUSDM', 'JSLU SD-M', 'J1504', 200),</v>
      </c>
    </row>
    <row r="4" spans="1:6" x14ac:dyDescent="0.2">
      <c r="A4" s="20">
        <v>3</v>
      </c>
      <c r="B4" s="16" t="s">
        <v>215</v>
      </c>
      <c r="C4" s="16" t="s">
        <v>215</v>
      </c>
      <c r="D4" s="16" t="s">
        <v>484</v>
      </c>
      <c r="E4" s="21">
        <v>300</v>
      </c>
      <c r="F4" t="str">
        <f t="shared" si="0"/>
        <v>(3, '12X18H10T', '12X18H10T', 'A1007', 300),</v>
      </c>
    </row>
    <row r="5" spans="1:6" x14ac:dyDescent="0.2">
      <c r="A5" s="22">
        <v>4</v>
      </c>
      <c r="B5" s="17" t="s">
        <v>56</v>
      </c>
      <c r="C5" s="17" t="s">
        <v>482</v>
      </c>
      <c r="D5" s="17" t="s">
        <v>483</v>
      </c>
      <c r="E5" s="23" t="s">
        <v>239</v>
      </c>
      <c r="F5" t="str">
        <f t="shared" si="0"/>
        <v>(4, 'JD1-T', 'JD1 - T', 'MS86', MS),</v>
      </c>
    </row>
    <row r="6" spans="1:6" x14ac:dyDescent="0.2">
      <c r="A6" s="20">
        <v>5</v>
      </c>
      <c r="B6" s="16" t="s">
        <v>194</v>
      </c>
      <c r="C6" s="16" t="s">
        <v>194</v>
      </c>
      <c r="D6" s="16" t="s">
        <v>481</v>
      </c>
      <c r="E6" s="21">
        <v>400</v>
      </c>
      <c r="F6" t="str">
        <f t="shared" si="0"/>
        <v>(5, '430J1L', '430J1L', 'F0614', 400),</v>
      </c>
    </row>
    <row r="7" spans="1:6" x14ac:dyDescent="0.2">
      <c r="A7" s="22">
        <v>6</v>
      </c>
      <c r="B7" s="17" t="s">
        <v>55</v>
      </c>
      <c r="C7" s="17" t="s">
        <v>479</v>
      </c>
      <c r="D7" s="17" t="s">
        <v>480</v>
      </c>
      <c r="E7" s="23" t="s">
        <v>239</v>
      </c>
      <c r="F7" t="str">
        <f t="shared" si="0"/>
        <v>(6, 'EN100252S355JOAR', 'EN10025-2 S355 JO+AR', 'MS96', MS),</v>
      </c>
    </row>
    <row r="8" spans="1:6" x14ac:dyDescent="0.2">
      <c r="A8" s="20">
        <v>7</v>
      </c>
      <c r="B8" s="16" t="s">
        <v>147</v>
      </c>
      <c r="C8" s="16" t="s">
        <v>477</v>
      </c>
      <c r="D8" s="16" t="s">
        <v>478</v>
      </c>
      <c r="E8" s="21">
        <v>300</v>
      </c>
      <c r="F8" t="str">
        <f t="shared" si="0"/>
        <v>(7, '316C&gt;0.04', '316 C &gt; 0.04%', 'A0607', 300),</v>
      </c>
    </row>
    <row r="9" spans="1:6" x14ac:dyDescent="0.2">
      <c r="A9" s="22">
        <v>8</v>
      </c>
      <c r="B9" s="17" t="s">
        <v>143</v>
      </c>
      <c r="C9" s="17" t="s">
        <v>143</v>
      </c>
      <c r="D9" s="17" t="s">
        <v>476</v>
      </c>
      <c r="E9" s="23">
        <v>300</v>
      </c>
      <c r="F9" t="str">
        <f t="shared" si="0"/>
        <v>(8, '321H', '321H', 'A1003', 300),</v>
      </c>
    </row>
    <row r="10" spans="1:6" x14ac:dyDescent="0.2">
      <c r="A10" s="20">
        <v>9</v>
      </c>
      <c r="B10" s="16" t="s">
        <v>51</v>
      </c>
      <c r="C10" s="16" t="s">
        <v>347</v>
      </c>
      <c r="D10" s="16" t="s">
        <v>348</v>
      </c>
      <c r="E10" s="21" t="s">
        <v>239</v>
      </c>
      <c r="F10" t="str">
        <f t="shared" si="0"/>
        <v>(9, 'EN100252S355JRAR', 'EN10025-2 S355 JR+AR', 'MS94', MS),</v>
      </c>
    </row>
    <row r="11" spans="1:6" x14ac:dyDescent="0.2">
      <c r="A11" s="22">
        <v>10</v>
      </c>
      <c r="B11" s="17" t="s">
        <v>204</v>
      </c>
      <c r="C11" s="17" t="s">
        <v>204</v>
      </c>
      <c r="D11" s="17" t="s">
        <v>475</v>
      </c>
      <c r="E11" s="23">
        <v>300</v>
      </c>
      <c r="F11" t="str">
        <f t="shared" si="0"/>
        <v>(10, '904L', '904L', 'A1702', 300),</v>
      </c>
    </row>
    <row r="12" spans="1:6" x14ac:dyDescent="0.2">
      <c r="A12" s="20">
        <v>11</v>
      </c>
      <c r="B12" s="16" t="s">
        <v>53</v>
      </c>
      <c r="C12" s="16" t="s">
        <v>473</v>
      </c>
      <c r="D12" s="16" t="s">
        <v>474</v>
      </c>
      <c r="E12" s="21" t="s">
        <v>239</v>
      </c>
      <c r="F12" t="str">
        <f t="shared" si="0"/>
        <v>(11, 'IS11513CR1', 'IS 11513 CR1', 'MS103', MS),</v>
      </c>
    </row>
    <row r="13" spans="1:6" x14ac:dyDescent="0.2">
      <c r="A13" s="22">
        <v>12</v>
      </c>
      <c r="B13" s="17" t="s">
        <v>163</v>
      </c>
      <c r="C13" s="17" t="s">
        <v>163</v>
      </c>
      <c r="D13" s="17" t="s">
        <v>472</v>
      </c>
      <c r="E13" s="23" t="s">
        <v>308</v>
      </c>
      <c r="F13" t="str">
        <f t="shared" si="0"/>
        <v>(12, 'UNS32760', 'UNS32760', 'D0201', Duplex),</v>
      </c>
    </row>
    <row r="14" spans="1:6" x14ac:dyDescent="0.2">
      <c r="A14" s="20">
        <v>13</v>
      </c>
      <c r="B14" s="16">
        <v>304</v>
      </c>
      <c r="C14" s="16">
        <v>304</v>
      </c>
      <c r="D14" s="16" t="s">
        <v>471</v>
      </c>
      <c r="E14" s="21">
        <v>300</v>
      </c>
      <c r="F14" t="str">
        <f t="shared" si="0"/>
        <v>(13, '304', '304', 'A0301', 300),</v>
      </c>
    </row>
    <row r="15" spans="1:6" x14ac:dyDescent="0.2">
      <c r="A15" s="22">
        <v>14</v>
      </c>
      <c r="B15" s="17" t="s">
        <v>123</v>
      </c>
      <c r="C15" s="17" t="s">
        <v>123</v>
      </c>
      <c r="D15" s="17" t="s">
        <v>470</v>
      </c>
      <c r="E15" s="23">
        <v>300</v>
      </c>
      <c r="F15" t="str">
        <f t="shared" si="0"/>
        <v>(14, '316LN', '316LN', 'A0603', 300),</v>
      </c>
    </row>
    <row r="16" spans="1:6" x14ac:dyDescent="0.2">
      <c r="A16" s="20">
        <v>15</v>
      </c>
      <c r="B16" s="16" t="s">
        <v>199</v>
      </c>
      <c r="C16" s="16" t="s">
        <v>468</v>
      </c>
      <c r="D16" s="16" t="s">
        <v>469</v>
      </c>
      <c r="E16" s="21">
        <v>400</v>
      </c>
      <c r="F16" t="str">
        <f t="shared" si="0"/>
        <v>(15, 'IRSM', 'IRSM44-97', 'F0503', 400),</v>
      </c>
    </row>
    <row r="17" spans="1:6" x14ac:dyDescent="0.2">
      <c r="A17" s="22">
        <v>16</v>
      </c>
      <c r="B17" s="17" t="s">
        <v>195</v>
      </c>
      <c r="C17" s="17" t="s">
        <v>195</v>
      </c>
      <c r="D17" s="17" t="s">
        <v>467</v>
      </c>
      <c r="E17" s="23">
        <v>400</v>
      </c>
      <c r="F17" t="str">
        <f t="shared" si="0"/>
        <v>(16, '410DB', '410DB', 'F0204', 400),</v>
      </c>
    </row>
    <row r="18" spans="1:6" x14ac:dyDescent="0.2">
      <c r="A18" s="20">
        <v>17</v>
      </c>
      <c r="B18" s="16">
        <v>321</v>
      </c>
      <c r="C18" s="16">
        <v>321</v>
      </c>
      <c r="D18" s="16" t="s">
        <v>466</v>
      </c>
      <c r="E18" s="21">
        <v>300</v>
      </c>
      <c r="F18" t="str">
        <f t="shared" si="0"/>
        <v>(17, '321', '321', 'A1001', 300),</v>
      </c>
    </row>
    <row r="19" spans="1:6" x14ac:dyDescent="0.2">
      <c r="A19" s="22">
        <v>18</v>
      </c>
      <c r="B19" s="17">
        <v>347</v>
      </c>
      <c r="C19" s="17">
        <v>347</v>
      </c>
      <c r="D19" s="17" t="s">
        <v>465</v>
      </c>
      <c r="E19" s="23">
        <v>300</v>
      </c>
      <c r="F19" t="str">
        <f t="shared" si="0"/>
        <v>(18, '347', '347', 'A1101', 300),</v>
      </c>
    </row>
    <row r="20" spans="1:6" x14ac:dyDescent="0.2">
      <c r="A20" s="20">
        <v>19</v>
      </c>
      <c r="B20" s="16" t="s">
        <v>124</v>
      </c>
      <c r="C20" s="16" t="s">
        <v>124</v>
      </c>
      <c r="D20" s="16" t="s">
        <v>464</v>
      </c>
      <c r="E20" s="21">
        <v>300</v>
      </c>
      <c r="F20" t="str">
        <f t="shared" si="0"/>
        <v>(19, '317LN', '317LN', 'A0802', 300),</v>
      </c>
    </row>
    <row r="21" spans="1:6" x14ac:dyDescent="0.2">
      <c r="A21" s="22">
        <v>20</v>
      </c>
      <c r="B21" s="17" t="s">
        <v>125</v>
      </c>
      <c r="C21" s="17" t="s">
        <v>125</v>
      </c>
      <c r="D21" s="17" t="s">
        <v>463</v>
      </c>
      <c r="E21" s="23">
        <v>400</v>
      </c>
      <c r="F21" t="str">
        <f t="shared" si="0"/>
        <v>(20, '409M', '409M', 'F0501', 400),</v>
      </c>
    </row>
    <row r="22" spans="1:6" x14ac:dyDescent="0.2">
      <c r="A22" s="20">
        <v>21</v>
      </c>
      <c r="B22" s="16" t="s">
        <v>127</v>
      </c>
      <c r="C22" s="16" t="s">
        <v>127</v>
      </c>
      <c r="D22" s="16" t="s">
        <v>462</v>
      </c>
      <c r="E22" s="21">
        <v>400</v>
      </c>
      <c r="F22" t="str">
        <f t="shared" si="0"/>
        <v>(21, '410S', '410S', 'F0202', 400),</v>
      </c>
    </row>
    <row r="23" spans="1:6" x14ac:dyDescent="0.2">
      <c r="A23" s="22">
        <v>22</v>
      </c>
      <c r="B23" s="17" t="s">
        <v>119</v>
      </c>
      <c r="C23" s="17" t="s">
        <v>3</v>
      </c>
      <c r="D23" s="17" t="s">
        <v>278</v>
      </c>
      <c r="E23" s="23">
        <v>200</v>
      </c>
      <c r="F23" t="str">
        <f t="shared" si="0"/>
        <v>(22, '204cu', '204CU', 'J0201', 200),</v>
      </c>
    </row>
    <row r="24" spans="1:6" x14ac:dyDescent="0.2">
      <c r="A24" s="20">
        <v>23</v>
      </c>
      <c r="B24" s="16" t="s">
        <v>192</v>
      </c>
      <c r="C24" s="16" t="s">
        <v>192</v>
      </c>
      <c r="D24" s="16" t="s">
        <v>461</v>
      </c>
      <c r="E24" s="21">
        <v>200</v>
      </c>
      <c r="F24" t="str">
        <f t="shared" si="0"/>
        <v>(23, 'J4', 'J4', 'J0401', 200),</v>
      </c>
    </row>
    <row r="25" spans="1:6" x14ac:dyDescent="0.2">
      <c r="A25" s="22">
        <v>24</v>
      </c>
      <c r="B25" s="17" t="s">
        <v>198</v>
      </c>
      <c r="C25" s="17" t="s">
        <v>366</v>
      </c>
      <c r="D25" s="17" t="s">
        <v>367</v>
      </c>
      <c r="E25" s="23">
        <v>300</v>
      </c>
      <c r="F25" t="str">
        <f t="shared" si="0"/>
        <v>(24, '304L', 'EN 1.4307', 'A0402', 300),</v>
      </c>
    </row>
    <row r="26" spans="1:6" x14ac:dyDescent="0.2">
      <c r="A26" s="20">
        <v>25</v>
      </c>
      <c r="B26" s="16" t="s">
        <v>120</v>
      </c>
      <c r="C26" s="16" t="s">
        <v>120</v>
      </c>
      <c r="D26" s="16" t="s">
        <v>460</v>
      </c>
      <c r="E26" s="21">
        <v>300</v>
      </c>
      <c r="F26" t="str">
        <f t="shared" si="0"/>
        <v>(25, '304LN', '304LN', 'A0404', 300),</v>
      </c>
    </row>
    <row r="27" spans="1:6" x14ac:dyDescent="0.2">
      <c r="A27" s="22">
        <v>26</v>
      </c>
      <c r="B27" s="17">
        <v>309</v>
      </c>
      <c r="C27" s="17">
        <v>309</v>
      </c>
      <c r="D27" s="17" t="s">
        <v>459</v>
      </c>
      <c r="E27" s="23">
        <v>300</v>
      </c>
      <c r="F27" t="str">
        <f t="shared" si="0"/>
        <v>(26, '309', '309', 'A0201', 300),</v>
      </c>
    </row>
    <row r="28" spans="1:6" x14ac:dyDescent="0.2">
      <c r="A28" s="20">
        <v>27</v>
      </c>
      <c r="B28" s="16" t="s">
        <v>121</v>
      </c>
      <c r="C28" s="16" t="s">
        <v>121</v>
      </c>
      <c r="D28" s="16" t="s">
        <v>458</v>
      </c>
      <c r="E28" s="21">
        <v>300</v>
      </c>
      <c r="F28" t="str">
        <f t="shared" si="0"/>
        <v>(27, '309S', '309S', 'A0202', 300),</v>
      </c>
    </row>
    <row r="29" spans="1:6" x14ac:dyDescent="0.2">
      <c r="A29" s="22">
        <v>28</v>
      </c>
      <c r="B29" s="17">
        <v>405</v>
      </c>
      <c r="C29" s="17">
        <v>405</v>
      </c>
      <c r="D29" s="17" t="s">
        <v>457</v>
      </c>
      <c r="E29" s="23">
        <v>400</v>
      </c>
      <c r="F29" t="str">
        <f t="shared" si="0"/>
        <v>(28, '405', '405', 'F0901', 400),</v>
      </c>
    </row>
    <row r="30" spans="1:6" x14ac:dyDescent="0.2">
      <c r="A30" s="20">
        <v>29</v>
      </c>
      <c r="B30" s="16">
        <v>301</v>
      </c>
      <c r="C30" s="16">
        <v>301</v>
      </c>
      <c r="D30" s="16" t="s">
        <v>456</v>
      </c>
      <c r="E30" s="21">
        <v>300</v>
      </c>
      <c r="F30" t="str">
        <f t="shared" si="0"/>
        <v>(29, '301', '301', 'A0101', 300),</v>
      </c>
    </row>
    <row r="31" spans="1:6" x14ac:dyDescent="0.2">
      <c r="A31" s="22">
        <v>30</v>
      </c>
      <c r="B31" s="17" t="s">
        <v>128</v>
      </c>
      <c r="C31" s="17" t="s">
        <v>184</v>
      </c>
      <c r="D31" s="17" t="s">
        <v>322</v>
      </c>
      <c r="E31" s="23">
        <v>400</v>
      </c>
      <c r="F31" t="str">
        <f t="shared" si="0"/>
        <v>(30, '430Ti', '430TI', 'F0604', 400),</v>
      </c>
    </row>
    <row r="32" spans="1:6" x14ac:dyDescent="0.2">
      <c r="A32" s="20">
        <v>31</v>
      </c>
      <c r="B32" s="16" t="s">
        <v>7</v>
      </c>
      <c r="C32" s="16" t="s">
        <v>7</v>
      </c>
      <c r="D32" s="16" t="s">
        <v>455</v>
      </c>
      <c r="E32" s="21">
        <v>200</v>
      </c>
      <c r="F32" t="str">
        <f t="shared" si="0"/>
        <v>(31, 'JT', 'JT', 'J0901', 200),</v>
      </c>
    </row>
    <row r="33" spans="1:6" x14ac:dyDescent="0.2">
      <c r="A33" s="22">
        <v>32</v>
      </c>
      <c r="B33" s="17">
        <v>201</v>
      </c>
      <c r="C33" s="17">
        <v>201</v>
      </c>
      <c r="D33" s="17" t="s">
        <v>454</v>
      </c>
      <c r="E33" s="23">
        <v>200</v>
      </c>
      <c r="F33" t="str">
        <f t="shared" si="0"/>
        <v>(32, '201', '201', 'J0301', 200),</v>
      </c>
    </row>
    <row r="34" spans="1:6" x14ac:dyDescent="0.2">
      <c r="A34" s="20">
        <v>33</v>
      </c>
      <c r="B34" s="16" t="s">
        <v>224</v>
      </c>
      <c r="C34" s="16" t="s">
        <v>452</v>
      </c>
      <c r="D34" s="16" t="s">
        <v>453</v>
      </c>
      <c r="E34" s="21">
        <v>300</v>
      </c>
      <c r="F34" t="str">
        <f t="shared" si="0"/>
        <v>(33, '316LCR17', '316L Cr &gt;= 17%', 'A0610', 300),</v>
      </c>
    </row>
    <row r="35" spans="1:6" x14ac:dyDescent="0.2">
      <c r="A35" s="22">
        <v>34</v>
      </c>
      <c r="B35" s="17" t="s">
        <v>225</v>
      </c>
      <c r="C35" s="17" t="s">
        <v>450</v>
      </c>
      <c r="D35" s="17" t="s">
        <v>451</v>
      </c>
      <c r="E35" s="23">
        <v>200</v>
      </c>
      <c r="F35" t="str">
        <f t="shared" si="0"/>
        <v>(34, 'JSLUSD', 'JSLU DD', 'J1401', 200),</v>
      </c>
    </row>
    <row r="36" spans="1:6" x14ac:dyDescent="0.2">
      <c r="A36" s="20">
        <v>35</v>
      </c>
      <c r="B36" s="16" t="s">
        <v>226</v>
      </c>
      <c r="C36" s="16" t="s">
        <v>450</v>
      </c>
      <c r="D36" s="16" t="s">
        <v>451</v>
      </c>
      <c r="E36" s="21">
        <v>200</v>
      </c>
      <c r="F36" t="str">
        <f t="shared" si="0"/>
        <v>(35, 'JSLUDD', 'JSLU DD', 'J1401', 200),</v>
      </c>
    </row>
    <row r="37" spans="1:6" x14ac:dyDescent="0.2">
      <c r="A37" s="22">
        <v>36</v>
      </c>
      <c r="B37" s="17" t="s">
        <v>112</v>
      </c>
      <c r="C37" s="17" t="s">
        <v>448</v>
      </c>
      <c r="D37" s="17" t="s">
        <v>449</v>
      </c>
      <c r="E37" s="23">
        <v>300</v>
      </c>
      <c r="F37" t="str">
        <f t="shared" si="0"/>
        <v>(36, '316Ti', '316TI', 'A0701', 300),</v>
      </c>
    </row>
    <row r="38" spans="1:6" x14ac:dyDescent="0.2">
      <c r="A38" s="20">
        <v>37</v>
      </c>
      <c r="B38" s="16" t="s">
        <v>113</v>
      </c>
      <c r="C38" s="16" t="s">
        <v>113</v>
      </c>
      <c r="D38" s="16" t="s">
        <v>447</v>
      </c>
      <c r="E38" s="21">
        <v>300</v>
      </c>
      <c r="F38" t="str">
        <f t="shared" si="0"/>
        <v>(37, '310S', '310S', 'A0502', 300),</v>
      </c>
    </row>
    <row r="39" spans="1:6" x14ac:dyDescent="0.2">
      <c r="A39" s="22">
        <v>38</v>
      </c>
      <c r="B39" s="17" t="s">
        <v>114</v>
      </c>
      <c r="C39" s="17" t="s">
        <v>445</v>
      </c>
      <c r="D39" s="17" t="s">
        <v>446</v>
      </c>
      <c r="E39" s="23">
        <v>300</v>
      </c>
      <c r="F39" t="str">
        <f t="shared" si="0"/>
        <v>(38, 'EN1.4571', 'EN 1.4571', 'A0702', 300),</v>
      </c>
    </row>
    <row r="40" spans="1:6" x14ac:dyDescent="0.2">
      <c r="A40" s="20">
        <v>39</v>
      </c>
      <c r="B40" s="16" t="s">
        <v>206</v>
      </c>
      <c r="C40" s="16" t="s">
        <v>443</v>
      </c>
      <c r="D40" s="16" t="s">
        <v>444</v>
      </c>
      <c r="E40" s="21">
        <v>400</v>
      </c>
      <c r="F40" t="str">
        <f t="shared" si="0"/>
        <v>(39, 'EN1.4003', 'EN 1.4003', 'F0504', 400),</v>
      </c>
    </row>
    <row r="41" spans="1:6" x14ac:dyDescent="0.2">
      <c r="A41" s="22">
        <v>40</v>
      </c>
      <c r="B41" s="17" t="s">
        <v>116</v>
      </c>
      <c r="C41" s="17" t="s">
        <v>441</v>
      </c>
      <c r="D41" s="17" t="s">
        <v>442</v>
      </c>
      <c r="E41" s="23">
        <v>300</v>
      </c>
      <c r="F41" t="str">
        <f t="shared" si="0"/>
        <v>(40, 'EN1.4541', 'EN 1.4541', 'A1002', 300),</v>
      </c>
    </row>
    <row r="42" spans="1:6" x14ac:dyDescent="0.2">
      <c r="A42" s="20">
        <v>41</v>
      </c>
      <c r="B42" s="16" t="s">
        <v>122</v>
      </c>
      <c r="C42" s="16" t="s">
        <v>122</v>
      </c>
      <c r="D42" s="16" t="s">
        <v>440</v>
      </c>
      <c r="E42" s="21">
        <v>300</v>
      </c>
      <c r="F42" t="str">
        <f t="shared" si="0"/>
        <v>(41, '316L', '316L', 'A0602', 300),</v>
      </c>
    </row>
    <row r="43" spans="1:6" x14ac:dyDescent="0.2">
      <c r="A43" s="22">
        <v>42</v>
      </c>
      <c r="B43" s="17" t="s">
        <v>227</v>
      </c>
      <c r="C43" s="17" t="s">
        <v>227</v>
      </c>
      <c r="D43" s="17" t="s">
        <v>439</v>
      </c>
      <c r="E43" s="23">
        <v>300</v>
      </c>
      <c r="F43" t="str">
        <f t="shared" si="0"/>
        <v>(42, '304N', '304N', 'A0405', 300),</v>
      </c>
    </row>
    <row r="44" spans="1:6" x14ac:dyDescent="0.2">
      <c r="A44" s="20">
        <v>43</v>
      </c>
      <c r="B44" s="16" t="s">
        <v>0</v>
      </c>
      <c r="C44" s="16" t="s">
        <v>366</v>
      </c>
      <c r="D44" s="16" t="s">
        <v>367</v>
      </c>
      <c r="E44" s="21">
        <v>300</v>
      </c>
      <c r="F44" t="str">
        <f t="shared" si="0"/>
        <v>(43, 'EN1.4307', 'EN 1.4307', 'A0402', 300),</v>
      </c>
    </row>
    <row r="45" spans="1:6" x14ac:dyDescent="0.2">
      <c r="A45" s="22">
        <v>44</v>
      </c>
      <c r="B45" s="17" t="s">
        <v>2</v>
      </c>
      <c r="C45" s="17" t="s">
        <v>272</v>
      </c>
      <c r="D45" s="17" t="s">
        <v>273</v>
      </c>
      <c r="E45" s="23">
        <v>300</v>
      </c>
      <c r="F45" t="str">
        <f t="shared" si="0"/>
        <v>(44, 'EN1.4404', 'EN 1.4404', 'A0605', 300),</v>
      </c>
    </row>
    <row r="46" spans="1:6" x14ac:dyDescent="0.2">
      <c r="A46" s="20">
        <v>45</v>
      </c>
      <c r="B46" s="16" t="s">
        <v>1</v>
      </c>
      <c r="C46" s="16" t="s">
        <v>270</v>
      </c>
      <c r="D46" s="16" t="s">
        <v>271</v>
      </c>
      <c r="E46" s="21">
        <v>300</v>
      </c>
      <c r="F46" t="str">
        <f t="shared" si="0"/>
        <v>(45, 'EN1.4301', 'EN 1.4301', 'A0302', 300),</v>
      </c>
    </row>
    <row r="47" spans="1:6" x14ac:dyDescent="0.2">
      <c r="A47" s="22">
        <v>46</v>
      </c>
      <c r="B47" s="17" t="s">
        <v>218</v>
      </c>
      <c r="C47" s="17" t="s">
        <v>218</v>
      </c>
      <c r="D47" s="17" t="s">
        <v>438</v>
      </c>
      <c r="E47" s="23">
        <v>400</v>
      </c>
      <c r="F47" t="str">
        <f t="shared" si="0"/>
        <v>(46, '409L', '409L', 'F0102', 400),</v>
      </c>
    </row>
    <row r="48" spans="1:6" x14ac:dyDescent="0.2">
      <c r="A48" s="20">
        <v>47</v>
      </c>
      <c r="B48" s="16">
        <v>409</v>
      </c>
      <c r="C48" s="16">
        <v>409</v>
      </c>
      <c r="D48" s="16" t="s">
        <v>437</v>
      </c>
      <c r="E48" s="21">
        <v>400</v>
      </c>
      <c r="F48" t="str">
        <f t="shared" si="0"/>
        <v>(47, '409', '409', 'F0101', 400),</v>
      </c>
    </row>
    <row r="49" spans="1:6" x14ac:dyDescent="0.2">
      <c r="A49" s="22">
        <v>48</v>
      </c>
      <c r="B49" s="17" t="s">
        <v>131</v>
      </c>
      <c r="C49" s="17" t="s">
        <v>435</v>
      </c>
      <c r="D49" s="17" t="s">
        <v>436</v>
      </c>
      <c r="E49" s="23">
        <v>400</v>
      </c>
      <c r="F49" t="str">
        <f t="shared" si="0"/>
        <v>(48, '430MINT', '430 Mint', 'F0603', 400),</v>
      </c>
    </row>
    <row r="50" spans="1:6" x14ac:dyDescent="0.2">
      <c r="A50" s="20">
        <v>49</v>
      </c>
      <c r="B50" s="16" t="s">
        <v>203</v>
      </c>
      <c r="C50" s="16" t="s">
        <v>433</v>
      </c>
      <c r="D50" s="16" t="s">
        <v>434</v>
      </c>
      <c r="E50" s="21">
        <v>400</v>
      </c>
      <c r="F50" t="str">
        <f t="shared" si="0"/>
        <v>(49, '430RF3', '430 RF-3', 'F0602', 400),</v>
      </c>
    </row>
    <row r="51" spans="1:6" x14ac:dyDescent="0.2">
      <c r="A51" s="22">
        <v>50</v>
      </c>
      <c r="B51" s="17">
        <v>430</v>
      </c>
      <c r="C51" s="17">
        <v>430</v>
      </c>
      <c r="D51" s="17" t="s">
        <v>432</v>
      </c>
      <c r="E51" s="23">
        <v>400</v>
      </c>
      <c r="F51" t="str">
        <f t="shared" si="0"/>
        <v>(50, '430', '430', 'F0608', 400),</v>
      </c>
    </row>
    <row r="52" spans="1:6" x14ac:dyDescent="0.2">
      <c r="A52" s="20">
        <v>51</v>
      </c>
      <c r="B52" s="16" t="s">
        <v>102</v>
      </c>
      <c r="C52" s="16" t="s">
        <v>102</v>
      </c>
      <c r="D52" s="16" t="s">
        <v>431</v>
      </c>
      <c r="E52" s="21" t="s">
        <v>239</v>
      </c>
      <c r="F52" t="str">
        <f t="shared" si="0"/>
        <v>(51, 'H12', 'H12', 'MS50', MS),</v>
      </c>
    </row>
    <row r="53" spans="1:6" x14ac:dyDescent="0.2">
      <c r="A53" s="22">
        <v>52</v>
      </c>
      <c r="B53" s="17" t="s">
        <v>95</v>
      </c>
      <c r="C53" s="17" t="s">
        <v>95</v>
      </c>
      <c r="D53" s="17" t="s">
        <v>430</v>
      </c>
      <c r="E53" s="23" t="s">
        <v>239</v>
      </c>
      <c r="F53" t="str">
        <f t="shared" si="0"/>
        <v>(52, 'X06', 'X06', 'MS66', MS),</v>
      </c>
    </row>
    <row r="54" spans="1:6" x14ac:dyDescent="0.2">
      <c r="A54" s="20">
        <v>53</v>
      </c>
      <c r="B54" s="16" t="s">
        <v>101</v>
      </c>
      <c r="C54" s="16" t="s">
        <v>101</v>
      </c>
      <c r="D54" s="16" t="s">
        <v>429</v>
      </c>
      <c r="E54" s="21" t="s">
        <v>239</v>
      </c>
      <c r="F54" t="str">
        <f t="shared" si="0"/>
        <v>(53, 'C09', 'C09', 'MS49', MS),</v>
      </c>
    </row>
    <row r="55" spans="1:6" x14ac:dyDescent="0.2">
      <c r="A55" s="22">
        <v>54</v>
      </c>
      <c r="B55" s="17" t="s">
        <v>109</v>
      </c>
      <c r="C55" s="17" t="s">
        <v>109</v>
      </c>
      <c r="D55" s="17" t="s">
        <v>428</v>
      </c>
      <c r="E55" s="23" t="s">
        <v>239</v>
      </c>
      <c r="F55" t="str">
        <f t="shared" si="0"/>
        <v>(54, 'C41', 'C41', 'MS26', MS),</v>
      </c>
    </row>
    <row r="56" spans="1:6" x14ac:dyDescent="0.2">
      <c r="A56" s="20">
        <v>55</v>
      </c>
      <c r="B56" s="16" t="s">
        <v>63</v>
      </c>
      <c r="C56" s="16" t="s">
        <v>63</v>
      </c>
      <c r="D56" s="16" t="s">
        <v>427</v>
      </c>
      <c r="E56" s="21" t="s">
        <v>239</v>
      </c>
      <c r="F56" t="str">
        <f t="shared" si="0"/>
        <v>(55, 'A30', 'A30', 'MS23', MS),</v>
      </c>
    </row>
    <row r="57" spans="1:6" x14ac:dyDescent="0.2">
      <c r="A57" s="22">
        <v>56</v>
      </c>
      <c r="B57" s="17" t="s">
        <v>64</v>
      </c>
      <c r="C57" s="17" t="s">
        <v>64</v>
      </c>
      <c r="D57" s="17" t="s">
        <v>426</v>
      </c>
      <c r="E57" s="23" t="s">
        <v>239</v>
      </c>
      <c r="F57" t="str">
        <f t="shared" si="0"/>
        <v>(56, 'C08', 'C08', 'MS73', MS),</v>
      </c>
    </row>
    <row r="58" spans="1:6" x14ac:dyDescent="0.2">
      <c r="A58" s="20">
        <v>57</v>
      </c>
      <c r="B58" s="16" t="s">
        <v>66</v>
      </c>
      <c r="C58" s="16" t="s">
        <v>66</v>
      </c>
      <c r="D58" s="16" t="s">
        <v>425</v>
      </c>
      <c r="E58" s="21" t="s">
        <v>239</v>
      </c>
      <c r="F58" t="str">
        <f t="shared" si="0"/>
        <v>(57, 'T02', 'T02', 'MS35', MS),</v>
      </c>
    </row>
    <row r="59" spans="1:6" x14ac:dyDescent="0.2">
      <c r="A59" s="22">
        <v>58</v>
      </c>
      <c r="B59" s="17" t="s">
        <v>67</v>
      </c>
      <c r="C59" s="17" t="s">
        <v>67</v>
      </c>
      <c r="D59" s="17" t="s">
        <v>424</v>
      </c>
      <c r="E59" s="23" t="s">
        <v>239</v>
      </c>
      <c r="F59" t="str">
        <f t="shared" si="0"/>
        <v>(58, 'T12', 'T12', 'MS36', MS),</v>
      </c>
    </row>
    <row r="60" spans="1:6" x14ac:dyDescent="0.2">
      <c r="A60" s="20">
        <v>59</v>
      </c>
      <c r="B60" s="16" t="s">
        <v>138</v>
      </c>
      <c r="C60" s="16" t="s">
        <v>138</v>
      </c>
      <c r="D60" s="16" t="s">
        <v>423</v>
      </c>
      <c r="E60" s="21">
        <v>400</v>
      </c>
      <c r="F60" t="str">
        <f t="shared" si="0"/>
        <v>(59, 'X2CRNI12', 'X2CRNI12', 'F0502', 400),</v>
      </c>
    </row>
    <row r="61" spans="1:6" x14ac:dyDescent="0.2">
      <c r="A61" s="22">
        <v>60</v>
      </c>
      <c r="B61" s="17" t="s">
        <v>69</v>
      </c>
      <c r="C61" s="17" t="s">
        <v>69</v>
      </c>
      <c r="D61" s="17" t="s">
        <v>422</v>
      </c>
      <c r="E61" s="23" t="s">
        <v>239</v>
      </c>
      <c r="F61" t="str">
        <f t="shared" si="0"/>
        <v>(60, 'Q01', 'Q01', 'MS65', MS),</v>
      </c>
    </row>
    <row r="62" spans="1:6" x14ac:dyDescent="0.2">
      <c r="A62" s="20">
        <v>61</v>
      </c>
      <c r="B62" s="16" t="s">
        <v>98</v>
      </c>
      <c r="C62" s="16" t="s">
        <v>98</v>
      </c>
      <c r="D62" s="16" t="s">
        <v>421</v>
      </c>
      <c r="E62" s="21" t="s">
        <v>239</v>
      </c>
      <c r="F62" t="str">
        <f t="shared" si="0"/>
        <v>(61, 'G19', 'G19', 'MS64', MS),</v>
      </c>
    </row>
    <row r="63" spans="1:6" x14ac:dyDescent="0.2">
      <c r="A63" s="22">
        <v>62</v>
      </c>
      <c r="B63" s="17">
        <v>441</v>
      </c>
      <c r="C63" s="17" t="s">
        <v>419</v>
      </c>
      <c r="D63" s="17" t="s">
        <v>420</v>
      </c>
      <c r="E63" s="23">
        <v>400</v>
      </c>
      <c r="F63" t="str">
        <f t="shared" si="0"/>
        <v>(62, '441', '441-Honda', 'F1203', 400),</v>
      </c>
    </row>
    <row r="64" spans="1:6" x14ac:dyDescent="0.2">
      <c r="A64" s="20">
        <v>63</v>
      </c>
      <c r="B64" s="16" t="s">
        <v>155</v>
      </c>
      <c r="C64" s="16" t="s">
        <v>270</v>
      </c>
      <c r="D64" s="16" t="s">
        <v>271</v>
      </c>
      <c r="E64" s="21">
        <v>300</v>
      </c>
      <c r="F64" t="str">
        <f t="shared" si="0"/>
        <v>(63, 'EN1.4306', 'EN 1.4301', 'A0302', 300),</v>
      </c>
    </row>
    <row r="65" spans="1:6" x14ac:dyDescent="0.2">
      <c r="A65" s="22">
        <v>64</v>
      </c>
      <c r="B65" s="17" t="s">
        <v>71</v>
      </c>
      <c r="C65" s="17" t="s">
        <v>71</v>
      </c>
      <c r="D65" s="17" t="s">
        <v>418</v>
      </c>
      <c r="E65" s="23" t="s">
        <v>239</v>
      </c>
      <c r="F65" t="str">
        <f t="shared" si="0"/>
        <v>(64, 'Q02', 'Q02', 'MS58', MS),</v>
      </c>
    </row>
    <row r="66" spans="1:6" x14ac:dyDescent="0.2">
      <c r="A66" s="20">
        <v>65</v>
      </c>
      <c r="B66" s="16" t="s">
        <v>82</v>
      </c>
      <c r="C66" s="16" t="s">
        <v>82</v>
      </c>
      <c r="D66" s="16" t="s">
        <v>417</v>
      </c>
      <c r="E66" s="21" t="s">
        <v>239</v>
      </c>
      <c r="F66" t="str">
        <f t="shared" si="0"/>
        <v>(65, 'C13', 'C13', 'MS32', MS),</v>
      </c>
    </row>
    <row r="67" spans="1:6" x14ac:dyDescent="0.2">
      <c r="A67" s="22">
        <v>66</v>
      </c>
      <c r="B67" s="17" t="s">
        <v>74</v>
      </c>
      <c r="C67" s="17" t="s">
        <v>74</v>
      </c>
      <c r="D67" s="17" t="s">
        <v>416</v>
      </c>
      <c r="E67" s="23" t="s">
        <v>239</v>
      </c>
      <c r="F67" t="str">
        <f t="shared" ref="F67:F130" si="1">"("&amp;A67&amp;", '"&amp;B67&amp;"', '"&amp;C67&amp;"', '"&amp;D67&amp;"', "&amp;E67&amp;"),"</f>
        <v>(66, 'A38', 'A38', 'MS30', MS),</v>
      </c>
    </row>
    <row r="68" spans="1:6" x14ac:dyDescent="0.2">
      <c r="A68" s="20">
        <v>67</v>
      </c>
      <c r="B68" s="16" t="s">
        <v>78</v>
      </c>
      <c r="C68" s="16" t="s">
        <v>78</v>
      </c>
      <c r="D68" s="16" t="s">
        <v>415</v>
      </c>
      <c r="E68" s="21" t="s">
        <v>239</v>
      </c>
      <c r="F68" t="str">
        <f t="shared" si="1"/>
        <v>(67, 'S35', 'S35', 'MS43', MS),</v>
      </c>
    </row>
    <row r="69" spans="1:6" x14ac:dyDescent="0.2">
      <c r="A69" s="22">
        <v>68</v>
      </c>
      <c r="B69" s="17" t="s">
        <v>92</v>
      </c>
      <c r="C69" s="17" t="s">
        <v>92</v>
      </c>
      <c r="D69" s="17" t="s">
        <v>414</v>
      </c>
      <c r="E69" s="23" t="s">
        <v>239</v>
      </c>
      <c r="F69" t="str">
        <f t="shared" si="1"/>
        <v>(68, 'T11', 'T11', 'MS48', MS),</v>
      </c>
    </row>
    <row r="70" spans="1:6" x14ac:dyDescent="0.2">
      <c r="A70" s="20">
        <v>69</v>
      </c>
      <c r="B70" s="16" t="s">
        <v>93</v>
      </c>
      <c r="C70" s="16" t="s">
        <v>93</v>
      </c>
      <c r="D70" s="16" t="s">
        <v>413</v>
      </c>
      <c r="E70" s="21" t="s">
        <v>239</v>
      </c>
      <c r="F70" t="str">
        <f t="shared" si="1"/>
        <v>(69, 'G05', 'G05', 'MS45', MS),</v>
      </c>
    </row>
    <row r="71" spans="1:6" x14ac:dyDescent="0.2">
      <c r="A71" s="22">
        <v>70</v>
      </c>
      <c r="B71" s="17" t="s">
        <v>94</v>
      </c>
      <c r="C71" s="17" t="s">
        <v>94</v>
      </c>
      <c r="D71" s="17" t="s">
        <v>412</v>
      </c>
      <c r="E71" s="23" t="s">
        <v>239</v>
      </c>
      <c r="F71" t="str">
        <f t="shared" si="1"/>
        <v>(70, 'G18', 'G18', 'MS47', MS),</v>
      </c>
    </row>
    <row r="72" spans="1:6" x14ac:dyDescent="0.2">
      <c r="A72" s="20">
        <v>71</v>
      </c>
      <c r="B72" s="16" t="s">
        <v>60</v>
      </c>
      <c r="C72" s="16" t="s">
        <v>60</v>
      </c>
      <c r="D72" s="16" t="s">
        <v>411</v>
      </c>
      <c r="E72" s="21" t="s">
        <v>239</v>
      </c>
      <c r="F72" t="str">
        <f t="shared" si="1"/>
        <v>(71, 'G08', 'G08', 'MS46', MS),</v>
      </c>
    </row>
    <row r="73" spans="1:6" x14ac:dyDescent="0.2">
      <c r="A73" s="22">
        <v>72</v>
      </c>
      <c r="B73" s="17" t="s">
        <v>68</v>
      </c>
      <c r="C73" s="17" t="s">
        <v>68</v>
      </c>
      <c r="D73" s="17" t="s">
        <v>410</v>
      </c>
      <c r="E73" s="23" t="s">
        <v>239</v>
      </c>
      <c r="F73" t="str">
        <f t="shared" si="1"/>
        <v>(72, 'C04', 'C04', 'MS52', MS),</v>
      </c>
    </row>
    <row r="74" spans="1:6" x14ac:dyDescent="0.2">
      <c r="A74" s="20">
        <v>73</v>
      </c>
      <c r="B74" s="16" t="s">
        <v>75</v>
      </c>
      <c r="C74" s="16" t="s">
        <v>75</v>
      </c>
      <c r="D74" s="16" t="s">
        <v>409</v>
      </c>
      <c r="E74" s="21" t="s">
        <v>239</v>
      </c>
      <c r="F74" t="str">
        <f t="shared" si="1"/>
        <v>(73, 'C01', 'C01', 'MS44', MS),</v>
      </c>
    </row>
    <row r="75" spans="1:6" x14ac:dyDescent="0.2">
      <c r="A75" s="22">
        <v>74</v>
      </c>
      <c r="B75" s="17" t="s">
        <v>77</v>
      </c>
      <c r="C75" s="17" t="s">
        <v>77</v>
      </c>
      <c r="D75" s="17" t="s">
        <v>408</v>
      </c>
      <c r="E75" s="23" t="s">
        <v>239</v>
      </c>
      <c r="F75" t="str">
        <f t="shared" si="1"/>
        <v>(74, 'C31', 'C31', 'MS33', MS),</v>
      </c>
    </row>
    <row r="76" spans="1:6" x14ac:dyDescent="0.2">
      <c r="A76" s="20">
        <v>75</v>
      </c>
      <c r="B76" s="16" t="s">
        <v>73</v>
      </c>
      <c r="C76" s="16" t="s">
        <v>73</v>
      </c>
      <c r="D76" s="16" t="s">
        <v>407</v>
      </c>
      <c r="E76" s="21" t="s">
        <v>239</v>
      </c>
      <c r="F76" t="str">
        <f t="shared" si="1"/>
        <v>(75, 'A34', 'A34', 'MS29', MS),</v>
      </c>
    </row>
    <row r="77" spans="1:6" x14ac:dyDescent="0.2">
      <c r="A77" s="22">
        <v>76</v>
      </c>
      <c r="B77" s="17" t="s">
        <v>81</v>
      </c>
      <c r="C77" s="17" t="s">
        <v>81</v>
      </c>
      <c r="D77" s="17" t="s">
        <v>406</v>
      </c>
      <c r="E77" s="23" t="s">
        <v>239</v>
      </c>
      <c r="F77" t="str">
        <f t="shared" si="1"/>
        <v>(76, 'C42', 'C42', 'MS37', MS),</v>
      </c>
    </row>
    <row r="78" spans="1:6" x14ac:dyDescent="0.2">
      <c r="A78" s="20">
        <v>77</v>
      </c>
      <c r="B78" s="16" t="s">
        <v>151</v>
      </c>
      <c r="C78" s="16" t="s">
        <v>404</v>
      </c>
      <c r="D78" s="16" t="s">
        <v>405</v>
      </c>
      <c r="E78" s="21">
        <v>200</v>
      </c>
      <c r="F78" t="str">
        <f t="shared" si="1"/>
        <v>(77, 'JSLUKP', 'JSLU-KP', 'J0902', 200),</v>
      </c>
    </row>
    <row r="79" spans="1:6" x14ac:dyDescent="0.2">
      <c r="A79" s="22">
        <v>78</v>
      </c>
      <c r="B79" s="17" t="s">
        <v>152</v>
      </c>
      <c r="C79" s="17" t="s">
        <v>402</v>
      </c>
      <c r="D79" s="17" t="s">
        <v>403</v>
      </c>
      <c r="E79" s="23">
        <v>400</v>
      </c>
      <c r="F79" t="str">
        <f t="shared" si="1"/>
        <v>(78, 'EN1.4000', 'EN 1.4000', 'F0205', 400),</v>
      </c>
    </row>
    <row r="80" spans="1:6" x14ac:dyDescent="0.2">
      <c r="A80" s="20">
        <v>79</v>
      </c>
      <c r="B80" s="16" t="s">
        <v>153</v>
      </c>
      <c r="C80" s="16" t="s">
        <v>400</v>
      </c>
      <c r="D80" s="16" t="s">
        <v>401</v>
      </c>
      <c r="E80" s="21">
        <v>300</v>
      </c>
      <c r="F80" t="str">
        <f t="shared" si="1"/>
        <v>(79, 'X5CRNI18', 'X5CRNI1810', 'A0307', 300),</v>
      </c>
    </row>
    <row r="81" spans="1:6" x14ac:dyDescent="0.2">
      <c r="A81" s="22">
        <v>80</v>
      </c>
      <c r="B81" s="17" t="s">
        <v>86</v>
      </c>
      <c r="C81" s="17" t="s">
        <v>86</v>
      </c>
      <c r="D81" s="17" t="s">
        <v>399</v>
      </c>
      <c r="E81" s="23" t="s">
        <v>239</v>
      </c>
      <c r="F81" t="str">
        <f t="shared" si="1"/>
        <v>(80, 'WTCR', 'WTCR', 'MS10', MS),</v>
      </c>
    </row>
    <row r="82" spans="1:6" x14ac:dyDescent="0.2">
      <c r="A82" s="20">
        <v>81</v>
      </c>
      <c r="B82" s="16" t="s">
        <v>166</v>
      </c>
      <c r="C82" s="16" t="s">
        <v>166</v>
      </c>
      <c r="D82" s="16" t="s">
        <v>365</v>
      </c>
      <c r="E82" s="21">
        <v>300</v>
      </c>
      <c r="F82" t="str">
        <f t="shared" si="1"/>
        <v>(81, '304L-AMS', '304L-AMS', 'A0421', 300),</v>
      </c>
    </row>
    <row r="83" spans="1:6" x14ac:dyDescent="0.2">
      <c r="A83" s="22">
        <v>82</v>
      </c>
      <c r="B83" s="17" t="s">
        <v>158</v>
      </c>
      <c r="C83" s="17" t="s">
        <v>397</v>
      </c>
      <c r="D83" s="17" t="s">
        <v>398</v>
      </c>
      <c r="E83" s="23" t="s">
        <v>308</v>
      </c>
      <c r="F83" t="str">
        <f t="shared" si="1"/>
        <v>(82, 'UNS32205', 'UNS S32205', 'D0101', Duplex),</v>
      </c>
    </row>
    <row r="84" spans="1:6" x14ac:dyDescent="0.2">
      <c r="A84" s="20">
        <v>83</v>
      </c>
      <c r="B84" s="16" t="s">
        <v>87</v>
      </c>
      <c r="C84" s="16" t="s">
        <v>87</v>
      </c>
      <c r="D84" s="16" t="s">
        <v>396</v>
      </c>
      <c r="E84" s="21" t="s">
        <v>239</v>
      </c>
      <c r="F84" t="str">
        <f t="shared" si="1"/>
        <v>(83, 'G15', 'G15', 'MS19', MS),</v>
      </c>
    </row>
    <row r="85" spans="1:6" x14ac:dyDescent="0.2">
      <c r="A85" s="22">
        <v>84</v>
      </c>
      <c r="B85" s="17" t="s">
        <v>90</v>
      </c>
      <c r="C85" s="17" t="s">
        <v>394</v>
      </c>
      <c r="D85" s="17" t="s">
        <v>395</v>
      </c>
      <c r="E85" s="23" t="s">
        <v>239</v>
      </c>
      <c r="F85" t="str">
        <f t="shared" si="1"/>
        <v>(84, 'MC50', 'SAILMC 50', 'MS16', MS),</v>
      </c>
    </row>
    <row r="86" spans="1:6" x14ac:dyDescent="0.2">
      <c r="A86" s="20">
        <v>85</v>
      </c>
      <c r="B86" s="16" t="s">
        <v>160</v>
      </c>
      <c r="C86" s="16" t="s">
        <v>392</v>
      </c>
      <c r="D86" s="16" t="s">
        <v>393</v>
      </c>
      <c r="E86" s="21">
        <v>400</v>
      </c>
      <c r="F86" t="str">
        <f t="shared" si="1"/>
        <v>(85, '410JEN', '410 Jen', 'F0208', 400),</v>
      </c>
    </row>
    <row r="87" spans="1:6" x14ac:dyDescent="0.2">
      <c r="A87" s="22">
        <v>86</v>
      </c>
      <c r="B87" s="17" t="s">
        <v>89</v>
      </c>
      <c r="C87" s="17" t="s">
        <v>390</v>
      </c>
      <c r="D87" s="17" t="s">
        <v>391</v>
      </c>
      <c r="E87" s="23" t="s">
        <v>239</v>
      </c>
      <c r="F87" t="str">
        <f t="shared" si="1"/>
        <v>(86, 'MC40', 'SAILMC 40', 'MS15', MS),</v>
      </c>
    </row>
    <row r="88" spans="1:6" x14ac:dyDescent="0.2">
      <c r="A88" s="20">
        <v>87</v>
      </c>
      <c r="B88" s="16" t="s">
        <v>91</v>
      </c>
      <c r="C88" s="16" t="s">
        <v>388</v>
      </c>
      <c r="D88" s="16" t="s">
        <v>389</v>
      </c>
      <c r="E88" s="21" t="s">
        <v>239</v>
      </c>
      <c r="F88" t="str">
        <f t="shared" si="1"/>
        <v>(87, 'MC55', 'SAILMC 55', 'MS17', MS),</v>
      </c>
    </row>
    <row r="89" spans="1:6" x14ac:dyDescent="0.2">
      <c r="A89" s="22">
        <v>88</v>
      </c>
      <c r="B89" s="17" t="s">
        <v>61</v>
      </c>
      <c r="C89" s="17" t="s">
        <v>61</v>
      </c>
      <c r="D89" s="17" t="s">
        <v>387</v>
      </c>
      <c r="E89" s="23" t="s">
        <v>239</v>
      </c>
      <c r="F89" t="str">
        <f t="shared" si="1"/>
        <v>(88, 'G10', 'G10', 'MS56', MS),</v>
      </c>
    </row>
    <row r="90" spans="1:6" x14ac:dyDescent="0.2">
      <c r="A90" s="20">
        <v>89</v>
      </c>
      <c r="B90" s="16" t="s">
        <v>96</v>
      </c>
      <c r="C90" s="16" t="s">
        <v>96</v>
      </c>
      <c r="D90" s="16" t="s">
        <v>386</v>
      </c>
      <c r="E90" s="21" t="s">
        <v>239</v>
      </c>
      <c r="F90" t="str">
        <f t="shared" si="1"/>
        <v>(89, 'D12', 'D12', 'MS53', MS),</v>
      </c>
    </row>
    <row r="91" spans="1:6" x14ac:dyDescent="0.2">
      <c r="A91" s="22">
        <v>90</v>
      </c>
      <c r="B91" s="17" t="s">
        <v>172</v>
      </c>
      <c r="C91" s="17" t="s">
        <v>172</v>
      </c>
      <c r="D91" s="17" t="s">
        <v>385</v>
      </c>
      <c r="E91" s="23" t="s">
        <v>239</v>
      </c>
      <c r="F91" t="str">
        <f t="shared" si="1"/>
        <v>(90, 'C03', 'C03', 'MS24', MS),</v>
      </c>
    </row>
    <row r="92" spans="1:6" x14ac:dyDescent="0.2">
      <c r="A92" s="20">
        <v>91</v>
      </c>
      <c r="B92" s="16" t="s">
        <v>76</v>
      </c>
      <c r="C92" s="16" t="s">
        <v>76</v>
      </c>
      <c r="D92" s="16" t="s">
        <v>384</v>
      </c>
      <c r="E92" s="21" t="s">
        <v>239</v>
      </c>
      <c r="F92" t="str">
        <f t="shared" si="1"/>
        <v>(91, 'C12', 'C12', 'MS31', MS),</v>
      </c>
    </row>
    <row r="93" spans="1:6" x14ac:dyDescent="0.2">
      <c r="A93" s="22">
        <v>92</v>
      </c>
      <c r="B93" s="17" t="s">
        <v>72</v>
      </c>
      <c r="C93" s="17" t="s">
        <v>72</v>
      </c>
      <c r="D93" s="17" t="s">
        <v>383</v>
      </c>
      <c r="E93" s="23" t="s">
        <v>239</v>
      </c>
      <c r="F93" t="str">
        <f t="shared" si="1"/>
        <v>(92, 'G35', 'G35', 'MS34', MS),</v>
      </c>
    </row>
    <row r="94" spans="1:6" x14ac:dyDescent="0.2">
      <c r="A94" s="20">
        <v>93</v>
      </c>
      <c r="B94" s="16" t="s">
        <v>65</v>
      </c>
      <c r="C94" s="16" t="s">
        <v>65</v>
      </c>
      <c r="D94" s="16" t="s">
        <v>382</v>
      </c>
      <c r="E94" s="21" t="s">
        <v>239</v>
      </c>
      <c r="F94" t="str">
        <f t="shared" si="1"/>
        <v>(93, 'G16', 'G16', 'MS22', MS),</v>
      </c>
    </row>
    <row r="95" spans="1:6" x14ac:dyDescent="0.2">
      <c r="A95" s="22">
        <v>94</v>
      </c>
      <c r="B95" s="17" t="s">
        <v>100</v>
      </c>
      <c r="C95" s="17" t="s">
        <v>100</v>
      </c>
      <c r="D95" s="17" t="s">
        <v>381</v>
      </c>
      <c r="E95" s="23" t="s">
        <v>239</v>
      </c>
      <c r="F95" t="str">
        <f t="shared" si="1"/>
        <v>(94, 'G17', 'G17', 'MS63', MS),</v>
      </c>
    </row>
    <row r="96" spans="1:6" x14ac:dyDescent="0.2">
      <c r="A96" s="20">
        <v>95</v>
      </c>
      <c r="B96" s="16" t="s">
        <v>148</v>
      </c>
      <c r="C96" s="16" t="s">
        <v>148</v>
      </c>
      <c r="D96" s="16" t="s">
        <v>380</v>
      </c>
      <c r="E96" s="21">
        <v>300</v>
      </c>
      <c r="F96" t="str">
        <f t="shared" si="1"/>
        <v>(95, '317L', '317L', 'A0801', 300),</v>
      </c>
    </row>
    <row r="97" spans="1:6" x14ac:dyDescent="0.2">
      <c r="A97" s="22">
        <v>96</v>
      </c>
      <c r="B97" s="17" t="s">
        <v>99</v>
      </c>
      <c r="C97" s="17" t="s">
        <v>99</v>
      </c>
      <c r="D97" s="17" t="s">
        <v>379</v>
      </c>
      <c r="E97" s="23" t="s">
        <v>239</v>
      </c>
      <c r="F97" t="str">
        <f t="shared" si="1"/>
        <v>(96, 'G06', 'G06', 'MS61', MS),</v>
      </c>
    </row>
    <row r="98" spans="1:6" x14ac:dyDescent="0.2">
      <c r="A98" s="20">
        <v>97</v>
      </c>
      <c r="B98" s="16" t="s">
        <v>164</v>
      </c>
      <c r="C98" s="16" t="s">
        <v>164</v>
      </c>
      <c r="D98" s="16" t="s">
        <v>378</v>
      </c>
      <c r="E98" s="21">
        <v>300</v>
      </c>
      <c r="F98" t="str">
        <f t="shared" si="1"/>
        <v>(97, '304H', '304H', 'A0305', 300),</v>
      </c>
    </row>
    <row r="99" spans="1:6" x14ac:dyDescent="0.2">
      <c r="A99" s="22">
        <v>98</v>
      </c>
      <c r="B99" s="17" t="s">
        <v>105</v>
      </c>
      <c r="C99" s="17" t="s">
        <v>105</v>
      </c>
      <c r="D99" s="17" t="s">
        <v>377</v>
      </c>
      <c r="E99" s="23" t="s">
        <v>239</v>
      </c>
      <c r="F99" t="str">
        <f t="shared" si="1"/>
        <v>(98, 'G09', 'G09', 'MS55', MS),</v>
      </c>
    </row>
    <row r="100" spans="1:6" x14ac:dyDescent="0.2">
      <c r="A100" s="20">
        <v>99</v>
      </c>
      <c r="B100" s="16" t="s">
        <v>57</v>
      </c>
      <c r="C100" s="16" t="s">
        <v>371</v>
      </c>
      <c r="D100" s="16" t="s">
        <v>372</v>
      </c>
      <c r="E100" s="21" t="s">
        <v>239</v>
      </c>
      <c r="F100" t="str">
        <f t="shared" si="1"/>
        <v>(99, 'IS10748GR1', 'IS 10748 Gr I', 'MS51', MS),</v>
      </c>
    </row>
    <row r="101" spans="1:6" x14ac:dyDescent="0.2">
      <c r="A101" s="22">
        <v>100</v>
      </c>
      <c r="B101" s="17" t="s">
        <v>223</v>
      </c>
      <c r="C101" s="17" t="s">
        <v>223</v>
      </c>
      <c r="D101" s="17" t="s">
        <v>376</v>
      </c>
      <c r="E101" s="23" t="s">
        <v>239</v>
      </c>
      <c r="F101" t="str">
        <f t="shared" si="1"/>
        <v>(100, 'C06', 'C06', 'MS20', MS),</v>
      </c>
    </row>
    <row r="102" spans="1:6" x14ac:dyDescent="0.2">
      <c r="A102" s="20">
        <v>101</v>
      </c>
      <c r="B102" s="16" t="s">
        <v>103</v>
      </c>
      <c r="C102" s="16" t="s">
        <v>103</v>
      </c>
      <c r="D102" s="16" t="s">
        <v>375</v>
      </c>
      <c r="E102" s="21" t="s">
        <v>239</v>
      </c>
      <c r="F102" t="str">
        <f t="shared" si="1"/>
        <v>(101, 'E03', 'E03', 'MS54', MS),</v>
      </c>
    </row>
    <row r="103" spans="1:6" x14ac:dyDescent="0.2">
      <c r="A103" s="22">
        <v>102</v>
      </c>
      <c r="B103" s="17" t="s">
        <v>104</v>
      </c>
      <c r="C103" s="17" t="s">
        <v>104</v>
      </c>
      <c r="D103" s="17" t="s">
        <v>374</v>
      </c>
      <c r="E103" s="23" t="s">
        <v>239</v>
      </c>
      <c r="F103" t="str">
        <f t="shared" si="1"/>
        <v>(102, 'T01', 'T01', 'MS57', MS),</v>
      </c>
    </row>
    <row r="104" spans="1:6" x14ac:dyDescent="0.2">
      <c r="A104" s="20">
        <v>103</v>
      </c>
      <c r="B104" s="16" t="s">
        <v>161</v>
      </c>
      <c r="C104" s="16" t="s">
        <v>161</v>
      </c>
      <c r="D104" s="16" t="s">
        <v>373</v>
      </c>
      <c r="E104" s="21">
        <v>300</v>
      </c>
      <c r="F104" t="str">
        <f t="shared" si="1"/>
        <v>(103, '316-AMS', '316-AMS', 'A0617', 300),</v>
      </c>
    </row>
    <row r="105" spans="1:6" x14ac:dyDescent="0.2">
      <c r="A105" s="22">
        <v>104</v>
      </c>
      <c r="B105" s="17" t="s">
        <v>84</v>
      </c>
      <c r="C105" s="17" t="s">
        <v>371</v>
      </c>
      <c r="D105" s="17" t="s">
        <v>372</v>
      </c>
      <c r="E105" s="23" t="s">
        <v>239</v>
      </c>
      <c r="F105" t="str">
        <f t="shared" si="1"/>
        <v>(104, '10748GR1', 'IS 10748 Gr I', 'MS51', MS),</v>
      </c>
    </row>
    <row r="106" spans="1:6" x14ac:dyDescent="0.2">
      <c r="A106" s="20">
        <v>105</v>
      </c>
      <c r="B106" s="16" t="s">
        <v>157</v>
      </c>
      <c r="C106" s="16" t="s">
        <v>157</v>
      </c>
      <c r="D106" s="16" t="s">
        <v>370</v>
      </c>
      <c r="E106" s="21">
        <v>300</v>
      </c>
      <c r="F106" t="str">
        <f t="shared" si="1"/>
        <v>(105, '316L-AMS', '316L-AMS', 'A0618', 300),</v>
      </c>
    </row>
    <row r="107" spans="1:6" x14ac:dyDescent="0.2">
      <c r="A107" s="22">
        <v>106</v>
      </c>
      <c r="B107" s="17" t="s">
        <v>149</v>
      </c>
      <c r="C107" s="17" t="s">
        <v>270</v>
      </c>
      <c r="D107" s="17" t="s">
        <v>271</v>
      </c>
      <c r="E107" s="23">
        <v>300</v>
      </c>
      <c r="F107" t="str">
        <f t="shared" si="1"/>
        <v>(106, 'EN1.4301HSR', 'EN 1.4301', 'A0302', 300),</v>
      </c>
    </row>
    <row r="108" spans="1:6" x14ac:dyDescent="0.2">
      <c r="A108" s="20">
        <v>107</v>
      </c>
      <c r="B108" s="16" t="s">
        <v>168</v>
      </c>
      <c r="C108" s="16" t="s">
        <v>270</v>
      </c>
      <c r="D108" s="16" t="s">
        <v>271</v>
      </c>
      <c r="E108" s="21">
        <v>300</v>
      </c>
      <c r="F108" t="str">
        <f t="shared" si="1"/>
        <v>(107, 'EN1.4301RAT', 'EN 1.4301', 'A0302', 300),</v>
      </c>
    </row>
    <row r="109" spans="1:6" x14ac:dyDescent="0.2">
      <c r="A109" s="22">
        <v>108</v>
      </c>
      <c r="B109" s="17" t="s">
        <v>141</v>
      </c>
      <c r="C109" s="17" t="s">
        <v>368</v>
      </c>
      <c r="D109" s="17" t="s">
        <v>369</v>
      </c>
      <c r="E109" s="23">
        <v>300</v>
      </c>
      <c r="F109" t="str">
        <f t="shared" si="1"/>
        <v>(108, '304LNi&gt;=8.5', '304L Ni &gt;= 8.5%', 'A0409', 300),</v>
      </c>
    </row>
    <row r="110" spans="1:6" x14ac:dyDescent="0.2">
      <c r="A110" s="20">
        <v>109</v>
      </c>
      <c r="B110" s="16" t="s">
        <v>150</v>
      </c>
      <c r="C110" s="16" t="s">
        <v>366</v>
      </c>
      <c r="D110" s="16" t="s">
        <v>367</v>
      </c>
      <c r="E110" s="21">
        <v>300</v>
      </c>
      <c r="F110" t="str">
        <f t="shared" si="1"/>
        <v>(109, 'EN1.4307HSR', 'EN 1.4307', 'A0402', 300),</v>
      </c>
    </row>
    <row r="111" spans="1:6" x14ac:dyDescent="0.2">
      <c r="A111" s="22">
        <v>110</v>
      </c>
      <c r="B111" s="17" t="s">
        <v>169</v>
      </c>
      <c r="C111" s="17" t="s">
        <v>366</v>
      </c>
      <c r="D111" s="17" t="s">
        <v>367</v>
      </c>
      <c r="E111" s="23">
        <v>300</v>
      </c>
      <c r="F111" t="str">
        <f t="shared" si="1"/>
        <v>(110, 'EN1.4307RAT', 'EN 1.4307', 'A0402', 300),</v>
      </c>
    </row>
    <row r="112" spans="1:6" x14ac:dyDescent="0.2">
      <c r="A112" s="20">
        <v>111</v>
      </c>
      <c r="B112" s="16" t="s">
        <v>167</v>
      </c>
      <c r="C112" s="16" t="s">
        <v>166</v>
      </c>
      <c r="D112" s="16" t="s">
        <v>365</v>
      </c>
      <c r="E112" s="21">
        <v>300</v>
      </c>
      <c r="F112" t="str">
        <f t="shared" si="1"/>
        <v>(111, '304-AMS', '304L-AMS', 'A0421', 300),</v>
      </c>
    </row>
    <row r="113" spans="1:6" x14ac:dyDescent="0.2">
      <c r="A113" s="22">
        <v>112</v>
      </c>
      <c r="B113" s="17" t="s">
        <v>140</v>
      </c>
      <c r="C113" s="17" t="s">
        <v>363</v>
      </c>
      <c r="D113" s="17" t="s">
        <v>364</v>
      </c>
      <c r="E113" s="23">
        <v>300</v>
      </c>
      <c r="F113" t="str">
        <f t="shared" si="1"/>
        <v>(112, '304LNi&gt;=9', '304L Ni &gt;= 9%', 'A0406', 300),</v>
      </c>
    </row>
    <row r="114" spans="1:6" x14ac:dyDescent="0.2">
      <c r="A114" s="20">
        <v>113</v>
      </c>
      <c r="B114" s="16" t="s">
        <v>108</v>
      </c>
      <c r="C114" s="16" t="s">
        <v>108</v>
      </c>
      <c r="D114" s="16" t="s">
        <v>362</v>
      </c>
      <c r="E114" s="21" t="s">
        <v>239</v>
      </c>
      <c r="F114" t="str">
        <f t="shared" si="1"/>
        <v>(113, 'C20', 'C20', 'MS25', MS),</v>
      </c>
    </row>
    <row r="115" spans="1:6" x14ac:dyDescent="0.2">
      <c r="A115" s="22">
        <v>114</v>
      </c>
      <c r="B115" s="17" t="s">
        <v>83</v>
      </c>
      <c r="C115" s="17" t="s">
        <v>83</v>
      </c>
      <c r="D115" s="17" t="s">
        <v>361</v>
      </c>
      <c r="E115" s="23" t="s">
        <v>239</v>
      </c>
      <c r="F115" t="str">
        <f t="shared" si="1"/>
        <v>(114, 'G11', 'G11', 'MS62', MS),</v>
      </c>
    </row>
    <row r="116" spans="1:6" x14ac:dyDescent="0.2">
      <c r="A116" s="20">
        <v>115</v>
      </c>
      <c r="B116" s="16">
        <v>439</v>
      </c>
      <c r="C116" s="16">
        <v>439</v>
      </c>
      <c r="D116" s="16" t="s">
        <v>360</v>
      </c>
      <c r="E116" s="21">
        <v>400</v>
      </c>
      <c r="F116" t="str">
        <f t="shared" si="1"/>
        <v>(115, '439', '439', 'F0701', 400),</v>
      </c>
    </row>
    <row r="117" spans="1:6" x14ac:dyDescent="0.2">
      <c r="A117" s="22">
        <v>116</v>
      </c>
      <c r="B117" s="17" t="s">
        <v>145</v>
      </c>
      <c r="C117" s="17" t="s">
        <v>5</v>
      </c>
      <c r="D117" s="17" t="s">
        <v>358</v>
      </c>
      <c r="E117" s="23" t="s">
        <v>359</v>
      </c>
      <c r="F117" t="str">
        <f t="shared" si="1"/>
        <v>(116, 'JBS', 'JBS-X', 'M0302', Jbs),</v>
      </c>
    </row>
    <row r="118" spans="1:6" x14ac:dyDescent="0.2">
      <c r="A118" s="20">
        <v>117</v>
      </c>
      <c r="B118" s="16" t="s">
        <v>137</v>
      </c>
      <c r="C118" s="16" t="s">
        <v>356</v>
      </c>
      <c r="D118" s="16" t="s">
        <v>357</v>
      </c>
      <c r="E118" s="21">
        <v>200</v>
      </c>
      <c r="F118" t="str">
        <f t="shared" si="1"/>
        <v>(117, 'JSLU-SD Ni', 'JSLU-SD Ni &gt;= 0.5%', 'J0803', 200),</v>
      </c>
    </row>
    <row r="119" spans="1:6" x14ac:dyDescent="0.2">
      <c r="A119" s="22">
        <v>118</v>
      </c>
      <c r="B119" s="17" t="s">
        <v>6</v>
      </c>
      <c r="C119" s="17" t="s">
        <v>6</v>
      </c>
      <c r="D119" s="17" t="s">
        <v>355</v>
      </c>
      <c r="E119" s="23">
        <v>400</v>
      </c>
      <c r="F119" t="str">
        <f t="shared" si="1"/>
        <v>(118, 'IRS 450CR', 'IRS 450CR', 'F0513', 400),</v>
      </c>
    </row>
    <row r="120" spans="1:6" x14ac:dyDescent="0.2">
      <c r="A120" s="20">
        <v>119</v>
      </c>
      <c r="B120" s="16" t="s">
        <v>188</v>
      </c>
      <c r="C120" s="16" t="s">
        <v>188</v>
      </c>
      <c r="D120" s="16" t="s">
        <v>354</v>
      </c>
      <c r="E120" s="21">
        <v>300</v>
      </c>
      <c r="F120" t="str">
        <f t="shared" si="1"/>
        <v>(119, '316L PREN&gt;23', '316L PREN&gt;23', 'A0639', 300),</v>
      </c>
    </row>
    <row r="121" spans="1:6" x14ac:dyDescent="0.2">
      <c r="A121" s="22">
        <v>120</v>
      </c>
      <c r="B121" s="17" t="s">
        <v>146</v>
      </c>
      <c r="C121" s="17" t="s">
        <v>146</v>
      </c>
      <c r="D121" s="17" t="s">
        <v>353</v>
      </c>
      <c r="E121" s="23" t="s">
        <v>308</v>
      </c>
      <c r="F121" t="str">
        <f t="shared" si="1"/>
        <v>(120, 'UNS31803', 'UNS31803', 'D0102', Duplex),</v>
      </c>
    </row>
    <row r="122" spans="1:6" x14ac:dyDescent="0.2">
      <c r="A122" s="20">
        <v>121</v>
      </c>
      <c r="B122" s="16">
        <v>316</v>
      </c>
      <c r="C122" s="16">
        <v>316</v>
      </c>
      <c r="D122" s="16" t="s">
        <v>352</v>
      </c>
      <c r="E122" s="21">
        <v>300</v>
      </c>
      <c r="F122" t="str">
        <f t="shared" si="1"/>
        <v>(121, '316', '316', 'A0601', 300),</v>
      </c>
    </row>
    <row r="123" spans="1:6" x14ac:dyDescent="0.2">
      <c r="A123" s="22">
        <v>122</v>
      </c>
      <c r="B123" s="17">
        <v>410</v>
      </c>
      <c r="C123" s="17">
        <v>410</v>
      </c>
      <c r="D123" s="17" t="s">
        <v>351</v>
      </c>
      <c r="E123" s="23">
        <v>400</v>
      </c>
      <c r="F123" t="str">
        <f t="shared" si="1"/>
        <v>(122, '410', '410', 'F0201', 400),</v>
      </c>
    </row>
    <row r="124" spans="1:6" x14ac:dyDescent="0.2">
      <c r="A124" s="20">
        <v>123</v>
      </c>
      <c r="B124" s="16" t="s">
        <v>59</v>
      </c>
      <c r="C124" s="16" t="s">
        <v>59</v>
      </c>
      <c r="D124" s="16"/>
      <c r="E124" s="21">
        <v>400</v>
      </c>
      <c r="F124" t="str">
        <f t="shared" si="1"/>
        <v>(123, 'IRSM 450', 'IRSM 450', '', 400),</v>
      </c>
    </row>
    <row r="125" spans="1:6" x14ac:dyDescent="0.2">
      <c r="A125" s="22">
        <v>124</v>
      </c>
      <c r="B125" s="17" t="s">
        <v>175</v>
      </c>
      <c r="C125" s="17" t="s">
        <v>349</v>
      </c>
      <c r="D125" s="17" t="s">
        <v>350</v>
      </c>
      <c r="E125" s="23" t="s">
        <v>239</v>
      </c>
      <c r="F125" t="str">
        <f t="shared" si="1"/>
        <v>(124, 'EN100252S235JRAR', 'EN10025-2 S235 JR+AR', 'MS83', MS),</v>
      </c>
    </row>
    <row r="126" spans="1:6" x14ac:dyDescent="0.2">
      <c r="A126" s="20">
        <v>125</v>
      </c>
      <c r="B126" s="16" t="s">
        <v>211</v>
      </c>
      <c r="C126" s="16" t="s">
        <v>347</v>
      </c>
      <c r="D126" s="16" t="s">
        <v>348</v>
      </c>
      <c r="E126" s="21" t="s">
        <v>239</v>
      </c>
      <c r="F126" t="str">
        <f t="shared" si="1"/>
        <v>(125, 'EN100252S355J2AR', 'EN10025-2 S355 JR+AR', 'MS94', MS),</v>
      </c>
    </row>
    <row r="127" spans="1:6" x14ac:dyDescent="0.2">
      <c r="A127" s="22">
        <v>126</v>
      </c>
      <c r="B127" s="17">
        <v>420</v>
      </c>
      <c r="C127" s="17">
        <v>420</v>
      </c>
      <c r="D127" s="17" t="s">
        <v>346</v>
      </c>
      <c r="E127" s="23">
        <v>400</v>
      </c>
      <c r="F127" t="str">
        <f t="shared" si="1"/>
        <v>(126, '420', '420', 'F0403', 400),</v>
      </c>
    </row>
    <row r="128" spans="1:6" x14ac:dyDescent="0.2">
      <c r="A128" s="20">
        <v>127</v>
      </c>
      <c r="B128" s="16" t="s">
        <v>162</v>
      </c>
      <c r="C128" s="16" t="s">
        <v>272</v>
      </c>
      <c r="D128" s="16" t="s">
        <v>273</v>
      </c>
      <c r="E128" s="21">
        <v>300</v>
      </c>
      <c r="F128" t="str">
        <f t="shared" si="1"/>
        <v>(127, 'EN1.4404RAT', 'EN 1.4404', 'A0605', 300),</v>
      </c>
    </row>
    <row r="129" spans="1:6" x14ac:dyDescent="0.2">
      <c r="A129" s="22">
        <v>128</v>
      </c>
      <c r="B129" s="17" t="s">
        <v>52</v>
      </c>
      <c r="C129" s="17" t="s">
        <v>52</v>
      </c>
      <c r="D129" s="17" t="s">
        <v>345</v>
      </c>
      <c r="E129" s="23" t="s">
        <v>239</v>
      </c>
      <c r="F129" t="str">
        <f t="shared" si="1"/>
        <v>(128, 'SAE1006', 'SAE1006', 'MS100', MS),</v>
      </c>
    </row>
    <row r="130" spans="1:6" x14ac:dyDescent="0.2">
      <c r="A130" s="20">
        <v>129</v>
      </c>
      <c r="B130" s="16" t="s">
        <v>129</v>
      </c>
      <c r="C130" s="16" t="s">
        <v>343</v>
      </c>
      <c r="D130" s="16" t="s">
        <v>344</v>
      </c>
      <c r="E130" s="21">
        <v>400</v>
      </c>
      <c r="F130" t="str">
        <f t="shared" si="1"/>
        <v>(129, '436L', 'SUS436L', 'F0305', 400),</v>
      </c>
    </row>
    <row r="131" spans="1:6" x14ac:dyDescent="0.2">
      <c r="A131" s="22">
        <v>130</v>
      </c>
      <c r="B131" s="17" t="s">
        <v>219</v>
      </c>
      <c r="C131" s="17" t="s">
        <v>295</v>
      </c>
      <c r="D131" s="17" t="s">
        <v>296</v>
      </c>
      <c r="E131" s="23" t="s">
        <v>239</v>
      </c>
      <c r="F131" t="str">
        <f t="shared" ref="F131:F192" si="2">"("&amp;A131&amp;", '"&amp;B131&amp;"', '"&amp;C131&amp;"', '"&amp;D131&amp;"', "&amp;E131&amp;"),"</f>
        <v>(130, 'IS2062E350BR', 'IS 2062 E350BR', 'MS13', MS),</v>
      </c>
    </row>
    <row r="132" spans="1:6" x14ac:dyDescent="0.2">
      <c r="A132" s="20">
        <v>131</v>
      </c>
      <c r="B132" s="16" t="s">
        <v>205</v>
      </c>
      <c r="C132" s="16" t="s">
        <v>300</v>
      </c>
      <c r="D132" s="16" t="s">
        <v>301</v>
      </c>
      <c r="E132" s="21">
        <v>300</v>
      </c>
      <c r="F132" t="str">
        <f t="shared" si="2"/>
        <v>(131, '301L-ST', 'EN 1.4318', 'A0104', 300),</v>
      </c>
    </row>
    <row r="133" spans="1:6" x14ac:dyDescent="0.2">
      <c r="A133" s="22">
        <v>132</v>
      </c>
      <c r="B133" s="17" t="s">
        <v>159</v>
      </c>
      <c r="C133" s="17" t="s">
        <v>341</v>
      </c>
      <c r="D133" s="17" t="s">
        <v>342</v>
      </c>
      <c r="E133" s="23">
        <v>300</v>
      </c>
      <c r="F133" t="str">
        <f t="shared" si="2"/>
        <v>(132, 'EN1.4311', 'EN 1.4311', 'A0408', 300),</v>
      </c>
    </row>
    <row r="134" spans="1:6" x14ac:dyDescent="0.2">
      <c r="A134" s="20">
        <v>133</v>
      </c>
      <c r="B134" s="16" t="s">
        <v>202</v>
      </c>
      <c r="C134" s="16" t="s">
        <v>202</v>
      </c>
      <c r="D134" s="16" t="s">
        <v>340</v>
      </c>
      <c r="E134" s="21">
        <v>400</v>
      </c>
      <c r="F134" t="str">
        <f t="shared" si="2"/>
        <v>(133, 'SUS430-HR', 'SUS430-HR', 'F0627', 400),</v>
      </c>
    </row>
    <row r="135" spans="1:6" x14ac:dyDescent="0.2">
      <c r="A135" s="22">
        <v>134</v>
      </c>
      <c r="B135" s="17" t="s">
        <v>171</v>
      </c>
      <c r="C135" s="17" t="s">
        <v>338</v>
      </c>
      <c r="D135" s="17" t="s">
        <v>339</v>
      </c>
      <c r="E135" s="23">
        <v>400</v>
      </c>
      <c r="F135" t="str">
        <f t="shared" si="2"/>
        <v>(134, 'EN1.4509', 'EN 1.4509', 'F1202', 400),</v>
      </c>
    </row>
    <row r="136" spans="1:6" x14ac:dyDescent="0.2">
      <c r="A136" s="20">
        <v>135</v>
      </c>
      <c r="B136" s="16" t="s">
        <v>178</v>
      </c>
      <c r="C136" s="16" t="s">
        <v>336</v>
      </c>
      <c r="D136" s="16" t="s">
        <v>337</v>
      </c>
      <c r="E136" s="21" t="s">
        <v>239</v>
      </c>
      <c r="F136" t="str">
        <f t="shared" si="2"/>
        <v>(135, 'JISG3101SS400', 'JIS G3101 SS400', 'MS97', MS),</v>
      </c>
    </row>
    <row r="137" spans="1:6" x14ac:dyDescent="0.2">
      <c r="A137" s="22">
        <v>136</v>
      </c>
      <c r="B137" s="17" t="s">
        <v>173</v>
      </c>
      <c r="C137" s="17" t="s">
        <v>334</v>
      </c>
      <c r="D137" s="17" t="s">
        <v>335</v>
      </c>
      <c r="E137" s="23" t="s">
        <v>308</v>
      </c>
      <c r="F137" t="str">
        <f t="shared" si="2"/>
        <v>(136, 'UNS 32750', 'UNS S32750', 'D0202', Duplex),</v>
      </c>
    </row>
    <row r="138" spans="1:6" x14ac:dyDescent="0.2">
      <c r="A138" s="20">
        <v>137</v>
      </c>
      <c r="B138" s="16" t="s">
        <v>182</v>
      </c>
      <c r="C138" s="16" t="s">
        <v>333</v>
      </c>
      <c r="D138" s="16"/>
      <c r="E138" s="21" t="s">
        <v>308</v>
      </c>
      <c r="F138" t="str">
        <f t="shared" si="2"/>
        <v>(137, 'UNS S32101', 'UNS32101', '', Duplex),</v>
      </c>
    </row>
    <row r="139" spans="1:6" x14ac:dyDescent="0.2">
      <c r="A139" s="22">
        <v>138</v>
      </c>
      <c r="B139" s="17" t="s">
        <v>190</v>
      </c>
      <c r="C139" s="17" t="s">
        <v>190</v>
      </c>
      <c r="D139" s="17" t="s">
        <v>332</v>
      </c>
      <c r="E139" s="23">
        <v>400</v>
      </c>
      <c r="F139" t="str">
        <f t="shared" si="2"/>
        <v>(138, 'SUS430', 'SUS430', 'F0626', 400),</v>
      </c>
    </row>
    <row r="140" spans="1:6" x14ac:dyDescent="0.2">
      <c r="A140" s="20">
        <v>139</v>
      </c>
      <c r="B140" s="16" t="s">
        <v>174</v>
      </c>
      <c r="C140" s="16" t="s">
        <v>174</v>
      </c>
      <c r="D140" s="16" t="s">
        <v>331</v>
      </c>
      <c r="E140" s="21">
        <v>400</v>
      </c>
      <c r="F140" t="str">
        <f t="shared" si="2"/>
        <v>(139, 'AISI 444', 'AISI 444', 'F1901', 400),</v>
      </c>
    </row>
    <row r="141" spans="1:6" x14ac:dyDescent="0.2">
      <c r="A141" s="22">
        <v>140</v>
      </c>
      <c r="B141" s="17" t="s">
        <v>185</v>
      </c>
      <c r="C141" s="17" t="s">
        <v>185</v>
      </c>
      <c r="D141" s="17" t="s">
        <v>330</v>
      </c>
      <c r="E141" s="23">
        <v>300</v>
      </c>
      <c r="F141" t="str">
        <f t="shared" si="2"/>
        <v>(140, 'SUS304', 'SUS304', 'A0325', 300),</v>
      </c>
    </row>
    <row r="142" spans="1:6" x14ac:dyDescent="0.2">
      <c r="A142" s="20">
        <v>141</v>
      </c>
      <c r="B142" s="16" t="s">
        <v>189</v>
      </c>
      <c r="C142" s="16" t="s">
        <v>189</v>
      </c>
      <c r="D142" s="16" t="s">
        <v>329</v>
      </c>
      <c r="E142" s="21">
        <v>400</v>
      </c>
      <c r="F142" t="str">
        <f t="shared" si="2"/>
        <v>(141, '439 RAT', '439 RAT', 'F0706', 400),</v>
      </c>
    </row>
    <row r="143" spans="1:6" x14ac:dyDescent="0.2">
      <c r="A143" s="22">
        <v>142</v>
      </c>
      <c r="B143" s="17" t="s">
        <v>115</v>
      </c>
      <c r="C143" s="17" t="s">
        <v>327</v>
      </c>
      <c r="D143" s="17" t="s">
        <v>328</v>
      </c>
      <c r="E143" s="23">
        <v>400</v>
      </c>
      <c r="F143" t="str">
        <f t="shared" si="2"/>
        <v>(142, 'EN1.4003HD', 'EN 1.4003HD', 'F0514', 400),</v>
      </c>
    </row>
    <row r="144" spans="1:6" x14ac:dyDescent="0.2">
      <c r="A144" s="20">
        <v>143</v>
      </c>
      <c r="B144" s="16" t="s">
        <v>142</v>
      </c>
      <c r="C144" s="16" t="s">
        <v>325</v>
      </c>
      <c r="D144" s="16" t="s">
        <v>326</v>
      </c>
      <c r="E144" s="21">
        <v>400</v>
      </c>
      <c r="F144" t="str">
        <f t="shared" si="2"/>
        <v>(143, '409L Ti', '409L Ti &gt;= 0.20%', 'F0106', 400),</v>
      </c>
    </row>
    <row r="145" spans="1:6" x14ac:dyDescent="0.2">
      <c r="A145" s="22">
        <v>144</v>
      </c>
      <c r="B145" s="17" t="s">
        <v>58</v>
      </c>
      <c r="C145" s="17" t="s">
        <v>323</v>
      </c>
      <c r="D145" s="17" t="s">
        <v>324</v>
      </c>
      <c r="E145" s="23" t="s">
        <v>239</v>
      </c>
      <c r="F145" t="str">
        <f t="shared" si="2"/>
        <v>(144, 'DS9513Type1', 'DS 9513 - Type 1', 'MS104', MS),</v>
      </c>
    </row>
    <row r="146" spans="1:6" x14ac:dyDescent="0.2">
      <c r="A146" s="20">
        <v>145</v>
      </c>
      <c r="B146" s="16" t="s">
        <v>184</v>
      </c>
      <c r="C146" s="16" t="s">
        <v>184</v>
      </c>
      <c r="D146" s="16" t="s">
        <v>322</v>
      </c>
      <c r="E146" s="21">
        <v>400</v>
      </c>
      <c r="F146" t="str">
        <f t="shared" si="2"/>
        <v>(145, '430TI', '430TI', 'F0604', 400),</v>
      </c>
    </row>
    <row r="147" spans="1:6" x14ac:dyDescent="0.2">
      <c r="A147" s="22">
        <v>146</v>
      </c>
      <c r="B147" s="17" t="s">
        <v>186</v>
      </c>
      <c r="C147" s="17" t="s">
        <v>186</v>
      </c>
      <c r="D147" s="17" t="s">
        <v>321</v>
      </c>
      <c r="E147" s="23">
        <v>400</v>
      </c>
      <c r="F147" t="str">
        <f t="shared" si="2"/>
        <v>(146, '430HF', '430HF', 'F0628', 400),</v>
      </c>
    </row>
    <row r="148" spans="1:6" x14ac:dyDescent="0.2">
      <c r="A148" s="20">
        <v>147</v>
      </c>
      <c r="B148" s="16" t="s">
        <v>187</v>
      </c>
      <c r="C148" s="16" t="s">
        <v>187</v>
      </c>
      <c r="D148" s="16" t="s">
        <v>320</v>
      </c>
      <c r="E148" s="21">
        <v>400</v>
      </c>
      <c r="F148" t="str">
        <f t="shared" si="2"/>
        <v>(147, 'IRS 350CR', 'IRS 350CR', 'F0512', 400),</v>
      </c>
    </row>
    <row r="149" spans="1:6" x14ac:dyDescent="0.2">
      <c r="A149" s="22">
        <v>148</v>
      </c>
      <c r="B149" s="17" t="s">
        <v>88</v>
      </c>
      <c r="C149" s="17" t="s">
        <v>318</v>
      </c>
      <c r="D149" s="17" t="s">
        <v>319</v>
      </c>
      <c r="E149" s="23" t="s">
        <v>239</v>
      </c>
      <c r="F149" t="str">
        <f t="shared" si="2"/>
        <v>(148, 'JD1M', 'JD1-M', 'MS902', MS),</v>
      </c>
    </row>
    <row r="150" spans="1:6" x14ac:dyDescent="0.2">
      <c r="A150" s="20">
        <v>149</v>
      </c>
      <c r="B150" s="16" t="s">
        <v>183</v>
      </c>
      <c r="C150" s="16" t="s">
        <v>183</v>
      </c>
      <c r="D150" s="16" t="s">
        <v>317</v>
      </c>
      <c r="E150" s="21">
        <v>400</v>
      </c>
      <c r="F150" t="str">
        <f t="shared" si="2"/>
        <v>(149, 'UNS S40975', 'UNS S40975', 'F0108', 400),</v>
      </c>
    </row>
    <row r="151" spans="1:6" x14ac:dyDescent="0.2">
      <c r="A151" s="22">
        <v>150</v>
      </c>
      <c r="B151" s="17" t="s">
        <v>197</v>
      </c>
      <c r="C151" s="17" t="s">
        <v>197</v>
      </c>
      <c r="D151" s="17" t="s">
        <v>316</v>
      </c>
      <c r="E151" s="23">
        <v>400</v>
      </c>
      <c r="F151" t="str">
        <f t="shared" si="2"/>
        <v>(150, '410HC', '410HC', 'F0211', 400),</v>
      </c>
    </row>
    <row r="152" spans="1:6" x14ac:dyDescent="0.2">
      <c r="A152" s="20">
        <v>151</v>
      </c>
      <c r="B152" s="16" t="s">
        <v>110</v>
      </c>
      <c r="C152" s="16" t="s">
        <v>110</v>
      </c>
      <c r="D152" s="16" t="s">
        <v>315</v>
      </c>
      <c r="E152" s="21" t="s">
        <v>239</v>
      </c>
      <c r="F152" t="str">
        <f t="shared" si="2"/>
        <v>(151, 'JD1', 'JD1', 'MS901', MS),</v>
      </c>
    </row>
    <row r="153" spans="1:6" x14ac:dyDescent="0.2">
      <c r="A153" s="22">
        <v>152</v>
      </c>
      <c r="B153" s="17" t="s">
        <v>107</v>
      </c>
      <c r="C153" s="17" t="s">
        <v>275</v>
      </c>
      <c r="D153" s="17" t="s">
        <v>276</v>
      </c>
      <c r="E153" s="23" t="s">
        <v>239</v>
      </c>
      <c r="F153" t="str">
        <f t="shared" si="2"/>
        <v>(152, 'IS2062E250BR', 'IS2062 E250 BR', 'MS82', MS),</v>
      </c>
    </row>
    <row r="154" spans="1:6" x14ac:dyDescent="0.2">
      <c r="A154" s="20">
        <v>153</v>
      </c>
      <c r="B154" s="16" t="s">
        <v>212</v>
      </c>
      <c r="C154" s="16" t="s">
        <v>313</v>
      </c>
      <c r="D154" s="16" t="s">
        <v>314</v>
      </c>
      <c r="E154" s="21">
        <v>200</v>
      </c>
      <c r="F154" t="str">
        <f t="shared" si="2"/>
        <v>(153, '201LN', '201 LN', 'J0304', 200),</v>
      </c>
    </row>
    <row r="155" spans="1:6" x14ac:dyDescent="0.2">
      <c r="A155" s="22">
        <v>154</v>
      </c>
      <c r="B155" s="17" t="s">
        <v>181</v>
      </c>
      <c r="C155" s="17" t="s">
        <v>181</v>
      </c>
      <c r="D155" s="17" t="s">
        <v>312</v>
      </c>
      <c r="E155" s="23">
        <v>300</v>
      </c>
      <c r="F155" t="str">
        <f t="shared" si="2"/>
        <v>(154, '301L-LT', '301L-LT', 'A0106', 300),</v>
      </c>
    </row>
    <row r="156" spans="1:6" x14ac:dyDescent="0.2">
      <c r="A156" s="20">
        <v>155</v>
      </c>
      <c r="B156" s="16" t="s">
        <v>193</v>
      </c>
      <c r="C156" s="16" t="s">
        <v>4</v>
      </c>
      <c r="D156" s="16" t="s">
        <v>311</v>
      </c>
      <c r="E156" s="21">
        <v>200</v>
      </c>
      <c r="F156" t="str">
        <f t="shared" si="2"/>
        <v>(155, 'JT-SPL', 'JT SPL', 'J0911', 200),</v>
      </c>
    </row>
    <row r="157" spans="1:6" x14ac:dyDescent="0.2">
      <c r="A157" s="22">
        <v>156</v>
      </c>
      <c r="B157" s="17" t="s">
        <v>208</v>
      </c>
      <c r="C157" s="17" t="s">
        <v>309</v>
      </c>
      <c r="D157" s="17" t="s">
        <v>310</v>
      </c>
      <c r="E157" s="23" t="s">
        <v>239</v>
      </c>
      <c r="F157" t="str">
        <f t="shared" si="2"/>
        <v>(156, 'IS11513CR3', 'IS 11513 CR III', 'MS112', MS),</v>
      </c>
    </row>
    <row r="158" spans="1:6" x14ac:dyDescent="0.2">
      <c r="A158" s="20">
        <v>157</v>
      </c>
      <c r="B158" s="16" t="s">
        <v>214</v>
      </c>
      <c r="C158" s="16" t="s">
        <v>306</v>
      </c>
      <c r="D158" s="16" t="s">
        <v>307</v>
      </c>
      <c r="E158" s="21" t="s">
        <v>308</v>
      </c>
      <c r="F158" t="str">
        <f t="shared" si="2"/>
        <v>(157, 'UNS S32304', 'UNS 32304', 'D0108', Duplex),</v>
      </c>
    </row>
    <row r="159" spans="1:6" x14ac:dyDescent="0.2">
      <c r="A159" s="22">
        <v>158</v>
      </c>
      <c r="B159" s="17" t="s">
        <v>304</v>
      </c>
      <c r="C159" s="17" t="s">
        <v>304</v>
      </c>
      <c r="D159" s="17" t="s">
        <v>305</v>
      </c>
      <c r="E159" s="23">
        <v>400</v>
      </c>
      <c r="F159" t="str">
        <f t="shared" si="2"/>
        <v>(158, '420J1', '420J1', 'F0401', 400),</v>
      </c>
    </row>
    <row r="160" spans="1:6" x14ac:dyDescent="0.2">
      <c r="A160" s="20">
        <v>159</v>
      </c>
      <c r="B160" s="16" t="s">
        <v>126</v>
      </c>
      <c r="C160" s="16" t="s">
        <v>126</v>
      </c>
      <c r="D160" s="16" t="s">
        <v>303</v>
      </c>
      <c r="E160" s="21">
        <v>400</v>
      </c>
      <c r="F160" t="str">
        <f t="shared" si="2"/>
        <v>(159, '410 QT550', '410 QT550', 'F0220', 400),</v>
      </c>
    </row>
    <row r="161" spans="1:6" x14ac:dyDescent="0.2">
      <c r="A161" s="22">
        <v>160</v>
      </c>
      <c r="B161" s="17" t="s">
        <v>213</v>
      </c>
      <c r="C161" s="17" t="s">
        <v>213</v>
      </c>
      <c r="D161" s="17" t="s">
        <v>302</v>
      </c>
      <c r="E161" s="23">
        <v>400</v>
      </c>
      <c r="F161" t="str">
        <f t="shared" si="2"/>
        <v>(160, 'UNS S41500', 'UNS S41500', 'F0802', 400),</v>
      </c>
    </row>
    <row r="162" spans="1:6" x14ac:dyDescent="0.2">
      <c r="A162" s="20">
        <v>161</v>
      </c>
      <c r="B162" s="16" t="s">
        <v>136</v>
      </c>
      <c r="C162" s="16" t="s">
        <v>300</v>
      </c>
      <c r="D162" s="16" t="s">
        <v>301</v>
      </c>
      <c r="E162" s="21">
        <v>300</v>
      </c>
      <c r="F162" t="str">
        <f t="shared" si="2"/>
        <v>(161, 'EN1.4318', 'EN 1.4318', 'A0104', 300),</v>
      </c>
    </row>
    <row r="163" spans="1:6" x14ac:dyDescent="0.2">
      <c r="A163" s="22">
        <v>162</v>
      </c>
      <c r="B163" s="17" t="s">
        <v>176</v>
      </c>
      <c r="C163" s="17" t="s">
        <v>196</v>
      </c>
      <c r="D163" s="17" t="s">
        <v>299</v>
      </c>
      <c r="E163" s="23" t="s">
        <v>239</v>
      </c>
      <c r="F163" t="str">
        <f t="shared" si="2"/>
        <v>(162, 'EN100252S355J2+N', 'EN10025-2 S355J2+N', 'MS99', MS),</v>
      </c>
    </row>
    <row r="164" spans="1:6" x14ac:dyDescent="0.2">
      <c r="A164" s="20">
        <v>163</v>
      </c>
      <c r="B164" s="16" t="s">
        <v>177</v>
      </c>
      <c r="C164" s="16" t="s">
        <v>297</v>
      </c>
      <c r="D164" s="16" t="s">
        <v>298</v>
      </c>
      <c r="E164" s="21" t="s">
        <v>239</v>
      </c>
      <c r="F164" t="str">
        <f t="shared" si="2"/>
        <v>(163, 'EN100252S275JRAR', 'EN10025-2 S275JR+AR', 'MS92', MS),</v>
      </c>
    </row>
    <row r="165" spans="1:6" x14ac:dyDescent="0.2">
      <c r="A165" s="22">
        <v>164</v>
      </c>
      <c r="B165" s="19" t="s">
        <v>80</v>
      </c>
      <c r="C165" s="17" t="s">
        <v>295</v>
      </c>
      <c r="D165" s="17" t="s">
        <v>296</v>
      </c>
      <c r="E165" s="23" t="s">
        <v>239</v>
      </c>
      <c r="F165" t="str">
        <f t="shared" si="2"/>
        <v>(164, '2062E350', 'IS 2062 E350BR', 'MS13', MS),</v>
      </c>
    </row>
    <row r="166" spans="1:6" x14ac:dyDescent="0.2">
      <c r="A166" s="20">
        <v>165</v>
      </c>
      <c r="B166" s="16" t="s">
        <v>292</v>
      </c>
      <c r="C166" s="16" t="s">
        <v>293</v>
      </c>
      <c r="D166" s="16" t="s">
        <v>294</v>
      </c>
      <c r="E166" s="21" t="s">
        <v>239</v>
      </c>
      <c r="F166" t="str">
        <f t="shared" si="2"/>
        <v>(165, 'IS10748GR3', 'IS10748 GRIII', 'MS81', MS),</v>
      </c>
    </row>
    <row r="167" spans="1:6" x14ac:dyDescent="0.2">
      <c r="A167" s="22">
        <v>166</v>
      </c>
      <c r="B167" s="17" t="s">
        <v>70</v>
      </c>
      <c r="C167" s="17" t="s">
        <v>280</v>
      </c>
      <c r="D167" s="17" t="s">
        <v>70</v>
      </c>
      <c r="E167" s="23" t="s">
        <v>239</v>
      </c>
      <c r="F167" t="str">
        <f t="shared" si="2"/>
        <v>(166, 'MS05', 'EN 5C', 'MS05', MS),</v>
      </c>
    </row>
    <row r="168" spans="1:6" x14ac:dyDescent="0.2">
      <c r="A168" s="20">
        <v>167</v>
      </c>
      <c r="B168" s="16" t="s">
        <v>54</v>
      </c>
      <c r="C168" s="16" t="s">
        <v>290</v>
      </c>
      <c r="D168" s="16" t="s">
        <v>291</v>
      </c>
      <c r="E168" s="21" t="s">
        <v>239</v>
      </c>
      <c r="F168" t="str">
        <f t="shared" si="2"/>
        <v>(167, 'IS2062E350C', 'IS 2062 E350C', 'MS18', MS),</v>
      </c>
    </row>
    <row r="169" spans="1:6" x14ac:dyDescent="0.2">
      <c r="A169" s="22">
        <v>168</v>
      </c>
      <c r="B169" s="17" t="s">
        <v>165</v>
      </c>
      <c r="C169" s="17" t="s">
        <v>288</v>
      </c>
      <c r="D169" s="17" t="s">
        <v>289</v>
      </c>
      <c r="E169" s="23">
        <v>200</v>
      </c>
      <c r="F169" t="str">
        <f t="shared" si="2"/>
        <v>(168, 'HNS', 'High nitrogen steel', 'J1202', 200),</v>
      </c>
    </row>
    <row r="170" spans="1:6" x14ac:dyDescent="0.2">
      <c r="A170" s="20">
        <v>169</v>
      </c>
      <c r="B170" s="16" t="s">
        <v>85</v>
      </c>
      <c r="C170" s="16" t="s">
        <v>284</v>
      </c>
      <c r="D170" s="16" t="s">
        <v>285</v>
      </c>
      <c r="E170" s="21" t="s">
        <v>239</v>
      </c>
      <c r="F170" t="str">
        <f t="shared" si="2"/>
        <v>(169, '10748GR2', 'IS10748 GRII', 'MS04', MS),</v>
      </c>
    </row>
    <row r="171" spans="1:6" x14ac:dyDescent="0.2">
      <c r="A171" s="22">
        <v>170</v>
      </c>
      <c r="B171" s="17" t="s">
        <v>200</v>
      </c>
      <c r="C171" s="17" t="s">
        <v>286</v>
      </c>
      <c r="D171" s="17" t="s">
        <v>287</v>
      </c>
      <c r="E171" s="23">
        <v>200</v>
      </c>
      <c r="F171" t="str">
        <f t="shared" si="2"/>
        <v>(170, 'EN1.4372', 'EN 1.4372', 'J0305', 200),</v>
      </c>
    </row>
    <row r="172" spans="1:6" x14ac:dyDescent="0.2">
      <c r="A172" s="20">
        <v>171</v>
      </c>
      <c r="B172" s="16" t="s">
        <v>210</v>
      </c>
      <c r="C172" s="16" t="s">
        <v>284</v>
      </c>
      <c r="D172" s="16" t="s">
        <v>285</v>
      </c>
      <c r="E172" s="21" t="s">
        <v>239</v>
      </c>
      <c r="F172" t="str">
        <f t="shared" si="2"/>
        <v>(171, 'IS10748GR2', 'IS10748 GRII', 'MS04', MS),</v>
      </c>
    </row>
    <row r="173" spans="1:6" x14ac:dyDescent="0.2">
      <c r="A173" s="22">
        <v>172</v>
      </c>
      <c r="B173" s="17" t="s">
        <v>144</v>
      </c>
      <c r="C173" s="17" t="s">
        <v>282</v>
      </c>
      <c r="D173" s="17" t="s">
        <v>283</v>
      </c>
      <c r="E173" s="23">
        <v>300</v>
      </c>
      <c r="F173" t="str">
        <f t="shared" si="2"/>
        <v>(172, 'EN1.4310', 'EN 1.4310', 'A0113', 300),</v>
      </c>
    </row>
    <row r="174" spans="1:6" x14ac:dyDescent="0.2">
      <c r="A174" s="20">
        <v>173</v>
      </c>
      <c r="B174" s="16" t="s">
        <v>191</v>
      </c>
      <c r="C174" s="16" t="s">
        <v>191</v>
      </c>
      <c r="D174" s="16" t="s">
        <v>281</v>
      </c>
      <c r="E174" s="21">
        <v>200</v>
      </c>
      <c r="F174" t="str">
        <f t="shared" si="2"/>
        <v>(173, 'JT-2BT', 'JT-2BT', 'J0910', 200),</v>
      </c>
    </row>
    <row r="175" spans="1:6" x14ac:dyDescent="0.2">
      <c r="A175" s="22">
        <v>174</v>
      </c>
      <c r="B175" s="17" t="s">
        <v>279</v>
      </c>
      <c r="C175" s="17" t="s">
        <v>280</v>
      </c>
      <c r="D175" s="17" t="s">
        <v>70</v>
      </c>
      <c r="E175" s="23" t="s">
        <v>239</v>
      </c>
      <c r="F175" t="str">
        <f t="shared" si="2"/>
        <v>(174, 'EN5C', 'EN 5C', 'MS05', MS),</v>
      </c>
    </row>
    <row r="176" spans="1:6" x14ac:dyDescent="0.2">
      <c r="A176" s="20">
        <v>175</v>
      </c>
      <c r="B176" s="16" t="s">
        <v>154</v>
      </c>
      <c r="C176" s="16" t="s">
        <v>3</v>
      </c>
      <c r="D176" s="16" t="s">
        <v>278</v>
      </c>
      <c r="E176" s="21">
        <v>200</v>
      </c>
      <c r="F176" t="str">
        <f t="shared" si="2"/>
        <v>(175, '204cuM', '204CU', 'J0201', 200),</v>
      </c>
    </row>
    <row r="177" spans="1:6" x14ac:dyDescent="0.2">
      <c r="A177" s="22">
        <v>176</v>
      </c>
      <c r="B177" s="17" t="s">
        <v>97</v>
      </c>
      <c r="C177" s="17"/>
      <c r="D177" s="17"/>
      <c r="E177" s="23" t="s">
        <v>239</v>
      </c>
      <c r="F177" t="str">
        <f t="shared" si="2"/>
        <v>(176, 'JA25HRST01', '', '', MS),</v>
      </c>
    </row>
    <row r="178" spans="1:6" x14ac:dyDescent="0.2">
      <c r="A178" s="20">
        <v>177</v>
      </c>
      <c r="B178" s="16" t="s">
        <v>79</v>
      </c>
      <c r="C178" s="16"/>
      <c r="D178" s="16"/>
      <c r="E178" s="21" t="s">
        <v>239</v>
      </c>
      <c r="F178" t="str">
        <f t="shared" si="2"/>
        <v>(177, 'IS6240', '', '', MS),</v>
      </c>
    </row>
    <row r="179" spans="1:6" x14ac:dyDescent="0.2">
      <c r="A179" s="22">
        <v>178</v>
      </c>
      <c r="B179" s="17" t="s">
        <v>118</v>
      </c>
      <c r="C179" s="17" t="s">
        <v>277</v>
      </c>
      <c r="D179" s="17"/>
      <c r="E179" s="23">
        <v>400</v>
      </c>
      <c r="F179" t="str">
        <f t="shared" si="2"/>
        <v>(178, 'AISI446', 'AISI 446', '', 400),</v>
      </c>
    </row>
    <row r="180" spans="1:6" x14ac:dyDescent="0.2">
      <c r="A180" s="20">
        <v>179</v>
      </c>
      <c r="B180" s="18">
        <v>2.062E+253</v>
      </c>
      <c r="C180" s="16" t="s">
        <v>275</v>
      </c>
      <c r="D180" s="16" t="s">
        <v>276</v>
      </c>
      <c r="E180" s="21" t="s">
        <v>239</v>
      </c>
      <c r="F180" t="str">
        <f t="shared" si="2"/>
        <v>(179, '2.062E+253', 'IS2062 E250 BR', 'MS82', MS),</v>
      </c>
    </row>
    <row r="181" spans="1:6" x14ac:dyDescent="0.2">
      <c r="A181" s="22">
        <v>180</v>
      </c>
      <c r="B181" s="17" t="s">
        <v>111</v>
      </c>
      <c r="C181" s="17"/>
      <c r="D181" s="17"/>
      <c r="E181" s="23" t="s">
        <v>239</v>
      </c>
      <c r="F181" t="str">
        <f t="shared" si="2"/>
        <v>(180, 'X03', '', '', MS),</v>
      </c>
    </row>
    <row r="182" spans="1:6" x14ac:dyDescent="0.2">
      <c r="A182" s="20">
        <v>181</v>
      </c>
      <c r="B182" s="16" t="s">
        <v>134</v>
      </c>
      <c r="C182" s="16" t="s">
        <v>274</v>
      </c>
      <c r="D182" s="16"/>
      <c r="E182" s="21">
        <v>300</v>
      </c>
      <c r="F182" t="str">
        <f t="shared" si="2"/>
        <v>(181, 'EN1.4401', 'EN 1.4401', '', 300),</v>
      </c>
    </row>
    <row r="183" spans="1:6" x14ac:dyDescent="0.2">
      <c r="A183" s="22">
        <v>182</v>
      </c>
      <c r="B183" s="17" t="s">
        <v>201</v>
      </c>
      <c r="C183" s="17" t="s">
        <v>272</v>
      </c>
      <c r="D183" s="17" t="s">
        <v>273</v>
      </c>
      <c r="E183" s="23">
        <v>300</v>
      </c>
      <c r="F183" t="str">
        <f t="shared" si="2"/>
        <v>(182, '316LRAT', 'EN 1.4404', 'A0605', 300),</v>
      </c>
    </row>
    <row r="184" spans="1:6" x14ac:dyDescent="0.2">
      <c r="A184" s="20">
        <v>183</v>
      </c>
      <c r="B184" s="16" t="s">
        <v>179</v>
      </c>
      <c r="C184" s="16" t="s">
        <v>270</v>
      </c>
      <c r="D184" s="16" t="s">
        <v>271</v>
      </c>
      <c r="E184" s="21">
        <v>300</v>
      </c>
      <c r="F184" t="str">
        <f t="shared" si="2"/>
        <v>(183, '304P', 'EN 1.4301', 'A0302', 300),</v>
      </c>
    </row>
    <row r="185" spans="1:6" x14ac:dyDescent="0.2">
      <c r="A185" s="22">
        <v>184</v>
      </c>
      <c r="B185" s="17" t="s">
        <v>209</v>
      </c>
      <c r="C185" s="17"/>
      <c r="D185" s="17"/>
      <c r="E185" s="23" t="s">
        <v>239</v>
      </c>
      <c r="F185" t="str">
        <f t="shared" si="2"/>
        <v>(184, 'C25HMNC', '', '', MS),</v>
      </c>
    </row>
    <row r="186" spans="1:6" x14ac:dyDescent="0.2">
      <c r="A186" s="20">
        <v>185</v>
      </c>
      <c r="B186" s="16" t="s">
        <v>62</v>
      </c>
      <c r="C186" s="16"/>
      <c r="D186" s="16"/>
      <c r="E186" s="21" t="s">
        <v>239</v>
      </c>
      <c r="F186" t="str">
        <f t="shared" si="2"/>
        <v>(185, 'CR4', '', '', MS),</v>
      </c>
    </row>
    <row r="187" spans="1:6" x14ac:dyDescent="0.2">
      <c r="A187" s="22">
        <v>186</v>
      </c>
      <c r="B187" s="17" t="s">
        <v>217</v>
      </c>
      <c r="C187" s="17"/>
      <c r="D187" s="17"/>
      <c r="E187" s="23">
        <v>200</v>
      </c>
      <c r="F187" t="str">
        <f t="shared" si="2"/>
        <v>(186, 'AUS', '', '', 200),</v>
      </c>
    </row>
    <row r="188" spans="1:6" x14ac:dyDescent="0.2">
      <c r="A188" s="20">
        <v>187</v>
      </c>
      <c r="B188" s="18">
        <v>2.062E+253</v>
      </c>
      <c r="C188" s="16"/>
      <c r="D188" s="16"/>
      <c r="E188" s="21"/>
      <c r="F188" t="str">
        <f t="shared" si="2"/>
        <v>(187, '2.062E+253', '', '', ),</v>
      </c>
    </row>
    <row r="189" spans="1:6" x14ac:dyDescent="0.2">
      <c r="A189" s="22">
        <v>188</v>
      </c>
      <c r="B189" s="17">
        <v>446</v>
      </c>
      <c r="C189" s="17"/>
      <c r="D189" s="17"/>
      <c r="E189" s="23"/>
      <c r="F189" t="str">
        <f t="shared" si="2"/>
        <v>(188, '446', '', '', ),</v>
      </c>
    </row>
    <row r="190" spans="1:6" x14ac:dyDescent="0.2">
      <c r="A190" s="20">
        <v>189</v>
      </c>
      <c r="B190" s="16" t="s">
        <v>228</v>
      </c>
      <c r="C190" s="16"/>
      <c r="D190" s="16"/>
      <c r="E190" s="21"/>
      <c r="F190" t="str">
        <f t="shared" si="2"/>
        <v>(189, '430WG', '', '', ),</v>
      </c>
    </row>
    <row r="191" spans="1:6" x14ac:dyDescent="0.2">
      <c r="A191" s="22">
        <v>190</v>
      </c>
      <c r="B191" s="17" t="s">
        <v>50</v>
      </c>
      <c r="C191" s="17"/>
      <c r="D191" s="17"/>
      <c r="E191" s="23"/>
      <c r="F191" t="str">
        <f t="shared" si="2"/>
        <v>(190, 'X55CR14MO', '', '', ),</v>
      </c>
    </row>
    <row r="192" spans="1:6" x14ac:dyDescent="0.2">
      <c r="A192" s="20">
        <v>191</v>
      </c>
      <c r="B192" s="16" t="s">
        <v>49</v>
      </c>
      <c r="C192" s="16" t="s">
        <v>49</v>
      </c>
      <c r="D192" s="16"/>
      <c r="E192" s="21">
        <v>400</v>
      </c>
      <c r="F192" t="str">
        <f t="shared" si="2"/>
        <v>(191, '409L %C&lt;0.007', '409L %C&lt;0.007', '', 400),</v>
      </c>
    </row>
    <row r="193" spans="1:5" x14ac:dyDescent="0.2">
      <c r="A193" s="29"/>
      <c r="B193" s="30"/>
      <c r="C193" s="30"/>
      <c r="D193" s="30"/>
      <c r="E193" s="31"/>
    </row>
    <row r="194" spans="1:5" x14ac:dyDescent="0.2">
      <c r="A194" s="32"/>
      <c r="B194" s="33"/>
      <c r="C194" s="33"/>
      <c r="D194" s="33"/>
      <c r="E194" s="34"/>
    </row>
    <row r="195" spans="1:5" ht="16" thickBot="1" x14ac:dyDescent="0.25">
      <c r="A195" s="35"/>
      <c r="B195" s="36"/>
      <c r="C195" s="36"/>
      <c r="D195" s="36"/>
      <c r="E195" s="37"/>
    </row>
  </sheetData>
  <autoFilter ref="A1:E192" xr:uid="{00000000-0001-0000-0200-000000000000}"/>
  <sortState xmlns:xlrd2="http://schemas.microsoft.com/office/spreadsheetml/2017/richdata2" ref="A2:E192">
    <sortCondition ref="A1"/>
  </sortState>
  <mergeCells count="3">
    <mergeCell ref="A193:E193"/>
    <mergeCell ref="A194:E194"/>
    <mergeCell ref="A195:E19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Min-Max_Chem</vt:lpstr>
      <vt:lpstr>PDI PARAMETER</vt:lpstr>
      <vt:lpstr>Grade_Mapping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Vatsal Biyani</cp:lastModifiedBy>
  <dcterms:created xsi:type="dcterms:W3CDTF">2026-01-19T17:10:11Z</dcterms:created>
  <dcterms:modified xsi:type="dcterms:W3CDTF">2026-02-25T10:25:19Z</dcterms:modified>
</cp:coreProperties>
</file>